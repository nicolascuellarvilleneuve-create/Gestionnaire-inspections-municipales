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Parc industriel\Opération Écrou-vise\"/>
    </mc:Choice>
  </mc:AlternateContent>
  <xr:revisionPtr revIDLastSave="0" documentId="13_ncr:1_{8A3B4FA5-0D4A-4361-85F5-EE51F80CA1B3}" xr6:coauthVersionLast="47" xr6:coauthVersionMax="47" xr10:uidLastSave="{00000000-0000-0000-0000-000000000000}"/>
  <bookViews>
    <workbookView xWindow="28680" yWindow="-120" windowWidth="29040" windowHeight="15720" activeTab="4" xr2:uid="{E8528BA1-A402-43C7-8787-7C475CFD8AA4}"/>
  </bookViews>
  <sheets>
    <sheet name="Data" sheetId="1" r:id="rId1"/>
    <sheet name="Feuil2" sheetId="2" state="hidden" r:id="rId2"/>
    <sheet name="marge" sheetId="4" r:id="rId3"/>
    <sheet name="Liste" sheetId="3" r:id="rId4"/>
    <sheet name="Feuil1" sheetId="5" r:id="rId5"/>
  </sheets>
  <definedNames>
    <definedName name="_xlnm.Print_Area" localSheetId="0">Data!$A$1:$G$63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C44" i="1"/>
  <c r="C37" i="1"/>
</calcChain>
</file>

<file path=xl/sharedStrings.xml><?xml version="1.0" encoding="utf-8"?>
<sst xmlns="http://schemas.openxmlformats.org/spreadsheetml/2006/main" count="433" uniqueCount="292">
  <si>
    <t>GRILLE D'INSPECTION</t>
  </si>
  <si>
    <t>INFORMATION
IMMEUBLE</t>
  </si>
  <si>
    <t xml:space="preserve">Nom de rue </t>
  </si>
  <si>
    <t xml:space="preserve">Turgeon </t>
  </si>
  <si>
    <t xml:space="preserve">Numéro civique </t>
  </si>
  <si>
    <t>sans adresse</t>
  </si>
  <si>
    <t xml:space="preserve">Type de terrain </t>
  </si>
  <si>
    <t>En angle</t>
  </si>
  <si>
    <t>Nom propriétaire</t>
  </si>
  <si>
    <t>GESTION IMMOBILIERE EAL INC.</t>
  </si>
  <si>
    <t xml:space="preserve">Zone </t>
  </si>
  <si>
    <t>633-Ib</t>
  </si>
  <si>
    <t xml:space="preserve">numéro de lot </t>
  </si>
  <si>
    <t>5 990 719</t>
  </si>
  <si>
    <t>Téléphone</t>
  </si>
  <si>
    <t xml:space="preserve">Marge avant </t>
  </si>
  <si>
    <t>Adjacent terrain résidentiel</t>
  </si>
  <si>
    <t>non</t>
  </si>
  <si>
    <t xml:space="preserve">Superficie terrain </t>
  </si>
  <si>
    <t xml:space="preserve">4 549,3 </t>
  </si>
  <si>
    <t>Marge arrière</t>
  </si>
  <si>
    <t>Total superficie bâtiments</t>
  </si>
  <si>
    <t xml:space="preserve">Marge latérale </t>
  </si>
  <si>
    <t>CES Coefficient d'occupation au sol</t>
  </si>
  <si>
    <t xml:space="preserve">Marge latérale combiné </t>
  </si>
  <si>
    <t>Usage bâtiment (CUBF)</t>
  </si>
  <si>
    <t xml:space="preserve">aucun usage attribuer au bâtiment </t>
  </si>
  <si>
    <t>BATIMENT PRINCIPAL</t>
  </si>
  <si>
    <t>Superficie bâtiment (m²)</t>
  </si>
  <si>
    <t>Nombre étage</t>
  </si>
  <si>
    <t>n/a</t>
  </si>
  <si>
    <t>Dimension façade (m)</t>
  </si>
  <si>
    <t xml:space="preserve">Hauteur bâtiment </t>
  </si>
  <si>
    <t>Dimension mur latéral droit (m)</t>
  </si>
  <si>
    <t>Revetement mural prohibé</t>
  </si>
  <si>
    <t>Dimension mur latéral gauche (m)</t>
  </si>
  <si>
    <t>Revetement toiture</t>
  </si>
  <si>
    <t xml:space="preserve">aucun </t>
  </si>
  <si>
    <t>Dimension mur arrière (m)</t>
  </si>
  <si>
    <t xml:space="preserve">Type de toit </t>
  </si>
  <si>
    <t>BATIMENT COMPLÉMENTAIRE</t>
  </si>
  <si>
    <t xml:space="preserve">Nombre bâtiment </t>
  </si>
  <si>
    <t>Type batiment</t>
  </si>
  <si>
    <t xml:space="preserve">Superficie bâtiment </t>
  </si>
  <si>
    <t>Permis délivré</t>
  </si>
  <si>
    <t>Numéro permis</t>
  </si>
  <si>
    <t>Inspecteur</t>
  </si>
  <si>
    <t>oui</t>
  </si>
  <si>
    <t>AMÉNAGEMENT TERRAIN</t>
  </si>
  <si>
    <t>VÉGÉTALISATION</t>
  </si>
  <si>
    <t>Superficie végétalisé</t>
  </si>
  <si>
    <t>Pourcentage végétalisation</t>
  </si>
  <si>
    <t>Triangle de visibilité requis</t>
  </si>
  <si>
    <t>Ilot végétalisé présent</t>
  </si>
  <si>
    <t xml:space="preserve">Profondeur minimale 2.4m </t>
  </si>
  <si>
    <t>ALLÉE DE CIRCULATION ET STATIONNEMENT</t>
  </si>
  <si>
    <t>Largeur (m)</t>
  </si>
  <si>
    <t xml:space="preserve">Bordure stationnement </t>
  </si>
  <si>
    <t>Profondeur bordure 0.35 max</t>
  </si>
  <si>
    <t>Profondeur (m)</t>
  </si>
  <si>
    <t>Hauteur bordure (0.10 &lt;&gt; 0.5)</t>
  </si>
  <si>
    <t>Localisation 1m mini de ligne de lot</t>
  </si>
  <si>
    <t>Surperficie totale stationnement et circulation (m²)</t>
  </si>
  <si>
    <t>Matériaux bordure</t>
  </si>
  <si>
    <t>Largeur mini allée de circulation (&gt; 6.7m)</t>
  </si>
  <si>
    <t>Surperficie totale stationnement et circulation imperméabilisé</t>
  </si>
  <si>
    <t>Profondeur mini allée d'accès (&gt; 6m)</t>
  </si>
  <si>
    <t>Si deux entrées charretières, écart 7.5m mini</t>
  </si>
  <si>
    <t>Largeur mini allée d'accès (&gt; 6.7m)</t>
  </si>
  <si>
    <t>Distance coin / entrée char. (12m min)</t>
  </si>
  <si>
    <t xml:space="preserve">Case mobilité réduite </t>
  </si>
  <si>
    <t>Dimension mini case (2.75 x 5.5)</t>
  </si>
  <si>
    <t xml:space="preserve">Nombre de case </t>
  </si>
  <si>
    <t xml:space="preserve">Aire de déneigement </t>
  </si>
  <si>
    <t>non défini</t>
  </si>
  <si>
    <t xml:space="preserve">Distance entre Tri.V ET entrée </t>
  </si>
  <si>
    <t>DRAINAGE EAUX PLUVIALES</t>
  </si>
  <si>
    <t>Total superficie imperméabilisée</t>
  </si>
  <si>
    <t>Puisard obligatoire (&gt; 500m²)</t>
  </si>
  <si>
    <t>Séparateur hydrodynamique requis</t>
  </si>
  <si>
    <t>ENTREPOSAGE</t>
  </si>
  <si>
    <t>Type d'entreposage</t>
  </si>
  <si>
    <t xml:space="preserve">C D </t>
  </si>
  <si>
    <t xml:space="preserve">dimension clôture type A (Hauteur) </t>
  </si>
  <si>
    <t>en cour arrière</t>
  </si>
  <si>
    <t xml:space="preserve">en cour avant </t>
  </si>
  <si>
    <t xml:space="preserve">en cour latérale </t>
  </si>
  <si>
    <t>LOCALISATION</t>
  </si>
  <si>
    <t>% MAX ENTREPOSAGE</t>
  </si>
  <si>
    <t>HAUTEUR MAX ENTREPOSAGE</t>
  </si>
  <si>
    <t>HAUTEUR MAX CLOTÛRE</t>
  </si>
  <si>
    <t xml:space="preserve">CONFORMITÉ MATERIAUX CLOTURE </t>
  </si>
  <si>
    <t>AJOURÉ/ NON AJOURÉ</t>
  </si>
  <si>
    <t xml:space="preserve">Cour avant </t>
  </si>
  <si>
    <t xml:space="preserve">minimum </t>
  </si>
  <si>
    <t>1.85 m</t>
  </si>
  <si>
    <t>1,85 m</t>
  </si>
  <si>
    <t xml:space="preserve">Cour arrière </t>
  </si>
  <si>
    <t>maximum</t>
  </si>
  <si>
    <t xml:space="preserve">2,5 m </t>
  </si>
  <si>
    <t xml:space="preserve">2,00 m </t>
  </si>
  <si>
    <t>Cour latéral</t>
  </si>
  <si>
    <t>hauteur d'entreposage autorisé</t>
  </si>
  <si>
    <t>3,00 m</t>
  </si>
  <si>
    <t>1,50 m</t>
  </si>
  <si>
    <t xml:space="preserve">1,85 m </t>
  </si>
  <si>
    <t>CONTENEUR</t>
  </si>
  <si>
    <t>Localisation conteneurs conforme</t>
  </si>
  <si>
    <t xml:space="preserve">LOCALISATION  </t>
  </si>
  <si>
    <t>NOMBRE</t>
  </si>
  <si>
    <t>DISTANCE LIMITE PROPRIÉTÉ</t>
  </si>
  <si>
    <t>HAUTEUR - Base VS niveau sol  (0.6m maximum)</t>
  </si>
  <si>
    <t>HAUTEUR - Haut VS niveau sol  
(3.2m maximum)</t>
  </si>
  <si>
    <t>CONTENEUR SUPERPOSÉ</t>
  </si>
  <si>
    <t xml:space="preserve">dimension clôture type C (Hauteur) </t>
  </si>
  <si>
    <t xml:space="preserve">cour avant </t>
  </si>
  <si>
    <t xml:space="preserve">cour arrière </t>
  </si>
  <si>
    <t xml:space="preserve">cour latérale </t>
  </si>
  <si>
    <t>5,00 m</t>
  </si>
  <si>
    <t>clôture non ajourée obligatoire minimum</t>
  </si>
  <si>
    <t xml:space="preserve">pour la portion du terrain réservée à l'entreposage extérieur </t>
  </si>
  <si>
    <t>NOM INSPECTEUR</t>
  </si>
  <si>
    <t>DATE D'INSPECTION</t>
  </si>
  <si>
    <t>entreposage</t>
  </si>
  <si>
    <t>nature d'entreposage</t>
  </si>
  <si>
    <t>% entreposage max - cour avant</t>
  </si>
  <si>
    <t>% cour arrière</t>
  </si>
  <si>
    <t>% cour latérale</t>
  </si>
  <si>
    <t>a</t>
  </si>
  <si>
    <t>biens de consomation mis en démonstration pour fins de vente</t>
  </si>
  <si>
    <t>b</t>
  </si>
  <si>
    <t>véhicules automobiles neufs ou usagés et, de façon non limitative, bateaux, motoneiges, motocyclettes et autres véhicules récréatifs mis en démonstration pour fins de vente ou de location </t>
  </si>
  <si>
    <t>c</t>
  </si>
  <si>
    <t>machinerie, équipements mobiles lourds, biens de consommation liés à l’automobile, maisons mobiles et roulottes de chantier mis en démonstration pour fins de vente ou de location </t>
  </si>
  <si>
    <t>d</t>
  </si>
  <si>
    <t>marchandises en vrac et tout type de produit ou autre ne répondant pas aux autres types d’entreposage </t>
  </si>
  <si>
    <t>nom de rue</t>
  </si>
  <si>
    <t xml:space="preserve">numéro civique </t>
  </si>
  <si>
    <t xml:space="preserve">zone </t>
  </si>
  <si>
    <t xml:space="preserve">type de terrain </t>
  </si>
  <si>
    <t>adjacent terrain résidentiel</t>
  </si>
  <si>
    <t>superficie terrain</t>
  </si>
  <si>
    <t xml:space="preserve">superficie bâtiment </t>
  </si>
  <si>
    <t xml:space="preserve">CES coefficient d'occupation au sol </t>
  </si>
  <si>
    <t>usage bâtiment CUBF</t>
  </si>
  <si>
    <t xml:space="preserve">type d'entreposage </t>
  </si>
  <si>
    <t>marge avant</t>
  </si>
  <si>
    <t>marge arrière</t>
  </si>
  <si>
    <t>marge latérale</t>
  </si>
  <si>
    <t>marge latérale combiné</t>
  </si>
  <si>
    <t>Colonne15</t>
  </si>
  <si>
    <t>Colonne16</t>
  </si>
  <si>
    <t>Colonne17</t>
  </si>
  <si>
    <t>Colonne18</t>
  </si>
  <si>
    <t xml:space="preserve">transversal </t>
  </si>
  <si>
    <t>Zone</t>
  </si>
  <si>
    <t>604-Ia</t>
  </si>
  <si>
    <t>632-Ib</t>
  </si>
  <si>
    <t>657-Ia</t>
  </si>
  <si>
    <t>658-Ia</t>
  </si>
  <si>
    <t>660-Ia</t>
  </si>
  <si>
    <t>699-Ib</t>
  </si>
  <si>
    <t>804-Ia</t>
  </si>
  <si>
    <t>826-Ia</t>
  </si>
  <si>
    <t>890-Ib</t>
  </si>
  <si>
    <t>892-Ib</t>
  </si>
  <si>
    <t>894-Ia</t>
  </si>
  <si>
    <t>898-Ia</t>
  </si>
  <si>
    <t>899-Ia</t>
  </si>
  <si>
    <t>900-Ia</t>
  </si>
  <si>
    <t>901-Ia</t>
  </si>
  <si>
    <t>939-Ia</t>
  </si>
  <si>
    <t>940-Ia</t>
  </si>
  <si>
    <t>945-Ia</t>
  </si>
  <si>
    <t>946-Ia</t>
  </si>
  <si>
    <t>1000-Ia</t>
  </si>
  <si>
    <t>C  D</t>
  </si>
  <si>
    <t xml:space="preserve">C  D </t>
  </si>
  <si>
    <t>N/A</t>
  </si>
  <si>
    <t xml:space="preserve">C   D </t>
  </si>
  <si>
    <t>D</t>
  </si>
  <si>
    <t>B  C</t>
  </si>
  <si>
    <t>B  C  D</t>
  </si>
  <si>
    <t>B</t>
  </si>
  <si>
    <t xml:space="preserve">B  C  D  </t>
  </si>
  <si>
    <t xml:space="preserve">B  C  D </t>
  </si>
  <si>
    <t xml:space="preserve">marge avant </t>
  </si>
  <si>
    <t xml:space="preserve">marge arrière </t>
  </si>
  <si>
    <t>Type de terrain</t>
  </si>
  <si>
    <t>Adjac. ter. res.</t>
  </si>
  <si>
    <t>Réseau</t>
  </si>
  <si>
    <t>Type de toit</t>
  </si>
  <si>
    <t>type batiment compl.</t>
  </si>
  <si>
    <t xml:space="preserve">droit acquis </t>
  </si>
  <si>
    <t>type localisation entreposage</t>
  </si>
  <si>
    <t xml:space="preserve">matériaux revêtement murale prohibé </t>
  </si>
  <si>
    <t>matériaux revêtement toiture autorisés</t>
  </si>
  <si>
    <t>matériaux bordure</t>
  </si>
  <si>
    <t>Transversal</t>
  </si>
  <si>
    <t>unitaire</t>
  </si>
  <si>
    <t>2 versants</t>
  </si>
  <si>
    <t>usage</t>
  </si>
  <si>
    <t>A</t>
  </si>
  <si>
    <t>(A) cour latérale et arrière</t>
  </si>
  <si>
    <t>SR</t>
  </si>
  <si>
    <t xml:space="preserve">papier </t>
  </si>
  <si>
    <t>bardeau bituminé</t>
  </si>
  <si>
    <t>métal</t>
  </si>
  <si>
    <t>séparatif</t>
  </si>
  <si>
    <t>mono pente</t>
  </si>
  <si>
    <t>garage</t>
  </si>
  <si>
    <t>hauteur</t>
  </si>
  <si>
    <t xml:space="preserve">(B) aucune restriction </t>
  </si>
  <si>
    <t>SB</t>
  </si>
  <si>
    <t xml:space="preserve">papier goudronné </t>
  </si>
  <si>
    <t>bardeau de cèdre ignifugé</t>
  </si>
  <si>
    <t xml:space="preserve">béton </t>
  </si>
  <si>
    <t>Intérieur</t>
  </si>
  <si>
    <t>toit plat</t>
  </si>
  <si>
    <t>bureau</t>
  </si>
  <si>
    <t>localisation</t>
  </si>
  <si>
    <t>C</t>
  </si>
  <si>
    <t>(C) cour latérale et arrière</t>
  </si>
  <si>
    <t>SV</t>
  </si>
  <si>
    <t xml:space="preserve">papier minéraliser </t>
  </si>
  <si>
    <t>l'ardoise</t>
  </si>
  <si>
    <t>Pierre</t>
  </si>
  <si>
    <t xml:space="preserve">non applicable </t>
  </si>
  <si>
    <t xml:space="preserve">non défini </t>
  </si>
  <si>
    <t>batiment à arche</t>
  </si>
  <si>
    <t>superficie</t>
  </si>
  <si>
    <t xml:space="preserve">(D) cour latérale et arrière </t>
  </si>
  <si>
    <t>RB</t>
  </si>
  <si>
    <t xml:space="preserve">carton fibre </t>
  </si>
  <si>
    <t xml:space="preserve">éléments de terre cuite </t>
  </si>
  <si>
    <t>matière plastique (hydrofuge)</t>
  </si>
  <si>
    <t>conteneur</t>
  </si>
  <si>
    <t>PGG</t>
  </si>
  <si>
    <t xml:space="preserve">enduit </t>
  </si>
  <si>
    <t>membrane d'étanchéité multicouche</t>
  </si>
  <si>
    <t>madrier (hydrofuge)</t>
  </si>
  <si>
    <t>B C D</t>
  </si>
  <si>
    <t>NCV</t>
  </si>
  <si>
    <t>immmitation pierre</t>
  </si>
  <si>
    <t>plaque de polyester renforcé de fibre de verre</t>
  </si>
  <si>
    <t>JAQ</t>
  </si>
  <si>
    <t xml:space="preserve">immmitation brique </t>
  </si>
  <si>
    <t xml:space="preserve">tuile </t>
  </si>
  <si>
    <t>matériaux naturel</t>
  </si>
  <si>
    <t>verre</t>
  </si>
  <si>
    <t>tôle non architecturale</t>
  </si>
  <si>
    <t xml:space="preserve">tôle architecturale </t>
  </si>
  <si>
    <t xml:space="preserve">tôle non finie </t>
  </si>
  <si>
    <t>tôle finie</t>
  </si>
  <si>
    <t xml:space="preserve">tôle non peinte </t>
  </si>
  <si>
    <t xml:space="preserve">tôle peinte </t>
  </si>
  <si>
    <t>tôle galvanisée</t>
  </si>
  <si>
    <t xml:space="preserve">tôle zinguée </t>
  </si>
  <si>
    <t xml:space="preserve">matière plastique </t>
  </si>
  <si>
    <t>matière translucide</t>
  </si>
  <si>
    <t xml:space="preserve">matière transparente </t>
  </si>
  <si>
    <t>fibre de verre transparente</t>
  </si>
  <si>
    <t>fibre de verre transluide</t>
  </si>
  <si>
    <t xml:space="preserve">pannneau murale </t>
  </si>
  <si>
    <t>panneau contreplaqué</t>
  </si>
  <si>
    <t xml:space="preserve">panneau d'aglomérer </t>
  </si>
  <si>
    <t xml:space="preserve">panneau de particule </t>
  </si>
  <si>
    <t>revêtement murale intermédiaire</t>
  </si>
  <si>
    <t xml:space="preserve">béton armé en section </t>
  </si>
  <si>
    <t xml:space="preserve">béton  monolitique </t>
  </si>
  <si>
    <t>bloc de béton non décoratif</t>
  </si>
  <si>
    <t xml:space="preserve">matériaux usagés </t>
  </si>
  <si>
    <t>matériaux de différents types</t>
  </si>
  <si>
    <t>matériaux de différente formes</t>
  </si>
  <si>
    <t xml:space="preserve">matériaux différente couleurs </t>
  </si>
  <si>
    <t xml:space="preserve">tout matériaux non accréditer </t>
  </si>
  <si>
    <t xml:space="preserve">Marge avant actuelle </t>
  </si>
  <si>
    <t xml:space="preserve">Marge arrière actuelle </t>
  </si>
  <si>
    <t xml:space="preserve">Marge latérale  actuelle </t>
  </si>
  <si>
    <t xml:space="preserve">Marge latérale combiné actuelle </t>
  </si>
  <si>
    <t>Version 
09-12-2025-ncv</t>
  </si>
  <si>
    <t xml:space="preserve"> </t>
  </si>
  <si>
    <t>date délivrance permis</t>
  </si>
  <si>
    <t xml:space="preserve">date inspection permis </t>
  </si>
  <si>
    <t>suzie</t>
  </si>
  <si>
    <t xml:space="preserve">annie </t>
  </si>
  <si>
    <t xml:space="preserve">josée </t>
  </si>
  <si>
    <t xml:space="preserve">costa </t>
  </si>
  <si>
    <t>type permis</t>
  </si>
  <si>
    <t xml:space="preserve">Numéro de permis </t>
  </si>
  <si>
    <r>
      <t xml:space="preserve">Largeur entrée charretière (6.7 &lt; </t>
    </r>
    <r>
      <rPr>
        <i/>
        <sz val="16"/>
        <color rgb="FF000000"/>
        <rFont val="Aptos Narrow"/>
        <family val="2"/>
      </rPr>
      <t xml:space="preserve">x </t>
    </r>
    <r>
      <rPr>
        <sz val="16"/>
        <color rgb="FF000000"/>
        <rFont val="Aptos Narrow"/>
        <charset val="1"/>
      </rPr>
      <t>&gt;15)</t>
    </r>
  </si>
  <si>
    <t xml:space="preserve">nom de rue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</si>
</sst>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  <charset val="1"/>
    </font>
    <font>
      <sz val="11"/>
      <color rgb="FF000000"/>
      <name val="Aptos Narrow"/>
      <charset val="1"/>
    </font>
    <font>
      <i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000000"/>
      <name val="Aptos Narrow"/>
      <charset val="1"/>
    </font>
    <font>
      <sz val="10"/>
      <name val="Arial"/>
      <charset val="1"/>
    </font>
    <font>
      <b/>
      <sz val="11"/>
      <color theme="0"/>
      <name val="Aptos Narrow"/>
      <family val="2"/>
      <scheme val="minor"/>
    </font>
    <font>
      <i/>
      <sz val="16"/>
      <color rgb="FF000000"/>
      <name val="Aptos Narrow"/>
      <family val="2"/>
    </font>
    <font>
      <sz val="16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1" fillId="0" borderId="1" xfId="0" applyFont="1" applyBorder="1" applyAlignment="1">
      <alignment horizontal="left"/>
    </xf>
    <xf numFmtId="0" fontId="3" fillId="0" borderId="4" xfId="0" applyFont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2" fillId="0" borderId="18" xfId="0" applyFont="1" applyBorder="1" applyAlignment="1">
      <alignment horizontal="left" wrapText="1"/>
    </xf>
    <xf numFmtId="9" fontId="0" fillId="0" borderId="1" xfId="0" applyNumberFormat="1" applyBorder="1" applyAlignment="1">
      <alignment horizontal="center"/>
    </xf>
    <xf numFmtId="0" fontId="4" fillId="0" borderId="15" xfId="0" applyFont="1" applyBorder="1" applyAlignment="1">
      <alignment horizontal="center" vertical="center" wrapText="1" indent="1"/>
    </xf>
    <xf numFmtId="0" fontId="0" fillId="2" borderId="0" xfId="0" applyFill="1"/>
    <xf numFmtId="0" fontId="0" fillId="2" borderId="4" xfId="0" applyFill="1" applyBorder="1"/>
    <xf numFmtId="0" fontId="0" fillId="0" borderId="15" xfId="0" applyBorder="1"/>
    <xf numFmtId="0" fontId="6" fillId="0" borderId="0" xfId="0" applyFont="1"/>
    <xf numFmtId="0" fontId="5" fillId="3" borderId="20" xfId="0" applyFont="1" applyFill="1" applyBorder="1"/>
    <xf numFmtId="0" fontId="10" fillId="0" borderId="20" xfId="0" applyFont="1" applyBorder="1" applyAlignment="1">
      <alignment horizontal="center"/>
    </xf>
    <xf numFmtId="0" fontId="5" fillId="0" borderId="21" xfId="0" applyFont="1" applyBorder="1"/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/>
    <xf numFmtId="0" fontId="5" fillId="3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3" borderId="27" xfId="0" applyFont="1" applyFill="1" applyBorder="1"/>
    <xf numFmtId="0" fontId="5" fillId="3" borderId="18" xfId="0" applyFont="1" applyFill="1" applyBorder="1"/>
    <xf numFmtId="0" fontId="5" fillId="0" borderId="11" xfId="0" applyFont="1" applyBorder="1" applyAlignment="1">
      <alignment horizontal="center"/>
    </xf>
    <xf numFmtId="0" fontId="5" fillId="3" borderId="22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5" fillId="0" borderId="9" xfId="0" applyFont="1" applyBorder="1"/>
    <xf numFmtId="0" fontId="5" fillId="0" borderId="12" xfId="0" applyFont="1" applyBorder="1"/>
    <xf numFmtId="0" fontId="5" fillId="4" borderId="8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5" fillId="3" borderId="8" xfId="0" applyFont="1" applyFill="1" applyBorder="1"/>
    <xf numFmtId="0" fontId="5" fillId="3" borderId="10" xfId="0" applyFont="1" applyFill="1" applyBorder="1"/>
    <xf numFmtId="0" fontId="5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5" fillId="3" borderId="19" xfId="0" applyFont="1" applyFill="1" applyBorder="1"/>
    <xf numFmtId="9" fontId="5" fillId="0" borderId="1" xfId="0" applyNumberFormat="1" applyFont="1" applyBorder="1" applyAlignment="1">
      <alignment horizontal="center"/>
    </xf>
    <xf numFmtId="0" fontId="12" fillId="0" borderId="0" xfId="0" applyFont="1"/>
    <xf numFmtId="0" fontId="9" fillId="5" borderId="27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textRotation="90" wrapText="1"/>
    </xf>
    <xf numFmtId="0" fontId="9" fillId="5" borderId="3" xfId="0" applyFont="1" applyFill="1" applyBorder="1" applyAlignment="1">
      <alignment horizontal="center" vertical="center" textRotation="90" wrapText="1"/>
    </xf>
    <xf numFmtId="0" fontId="9" fillId="5" borderId="5" xfId="0" applyFont="1" applyFill="1" applyBorder="1" applyAlignment="1">
      <alignment horizontal="center" vertical="center" textRotation="90" wrapText="1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center" vertical="center" textRotation="90" wrapText="1"/>
    </xf>
    <xf numFmtId="0" fontId="9" fillId="5" borderId="36" xfId="0" applyFont="1" applyFill="1" applyBorder="1" applyAlignment="1">
      <alignment horizontal="center" vertical="center" textRotation="90" wrapText="1"/>
    </xf>
    <xf numFmtId="0" fontId="9" fillId="5" borderId="37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3" borderId="49" xfId="0" applyFont="1" applyFill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6" borderId="48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3" borderId="51" xfId="0" applyFont="1" applyFill="1" applyBorder="1" applyAlignment="1">
      <alignment horizontal="center"/>
    </xf>
    <xf numFmtId="0" fontId="15" fillId="3" borderId="1" xfId="0" applyFont="1" applyFill="1" applyBorder="1" applyAlignment="1">
      <alignment wrapText="1"/>
    </xf>
    <xf numFmtId="0" fontId="13" fillId="7" borderId="53" xfId="0" applyFont="1" applyFill="1" applyBorder="1"/>
    <xf numFmtId="0" fontId="13" fillId="7" borderId="54" xfId="0" applyFont="1" applyFill="1" applyBorder="1"/>
    <xf numFmtId="0" fontId="13" fillId="7" borderId="5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85725</xdr:rowOff>
    </xdr:from>
    <xdr:to>
      <xdr:col>0</xdr:col>
      <xdr:colOff>1000125</xdr:colOff>
      <xdr:row>1</xdr:row>
      <xdr:rowOff>1143000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E9ACBD7-8FAF-5C4C-3EA9-33402557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76225"/>
          <a:ext cx="723900" cy="1057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3C2E68-15ED-4043-8411-046A3B26C79F}" name="variable" displayName="variable" ref="B6:S7" totalsRowShown="0">
  <autoFilter ref="B6:S7" xr:uid="{4F3C2E68-15ED-4043-8411-046A3B26C79F}"/>
  <tableColumns count="18">
    <tableColumn id="1" xr3:uid="{353A0504-5E6D-4A70-B847-F869B685CC67}" name="nom de rue"/>
    <tableColumn id="2" xr3:uid="{1F710B84-49E3-420A-9EDB-BA441E098C10}" name="numéro civique "/>
    <tableColumn id="3" xr3:uid="{872A28B3-A68F-4E75-A91E-2742B08C0065}" name="zone "/>
    <tableColumn id="4" xr3:uid="{D781D2BF-5AE6-47AB-9448-EF0C09314B88}" name="type de terrain "/>
    <tableColumn id="5" xr3:uid="{F918ED86-AC45-400D-AD97-ED6ECB8E53F2}" name="adjacent terrain résidentiel"/>
    <tableColumn id="6" xr3:uid="{A35112A0-2967-4CC4-880F-5731CA96D80B}" name="superficie terrain"/>
    <tableColumn id="7" xr3:uid="{30C2C796-3E23-41D9-9E84-EB277654B001}" name="superficie bâtiment "/>
    <tableColumn id="8" xr3:uid="{68E34A8A-FEAB-4BA9-8A90-054F3809CA7A}" name="CES coefficient d'occupation au sol "/>
    <tableColumn id="9" xr3:uid="{708207BC-510E-42F6-BA9C-F8EB53FF50E2}" name="usage bâtiment CUBF"/>
    <tableColumn id="10" xr3:uid="{25BEF746-E31A-473C-A67A-EFCDA7EC06A5}" name="type d'entreposage "/>
    <tableColumn id="11" xr3:uid="{F0A149ED-D64C-4321-9006-3860E9796450}" name="marge avant"/>
    <tableColumn id="12" xr3:uid="{F774343C-A5E3-4772-B041-2F8633B0CFF5}" name="marge arrière"/>
    <tableColumn id="13" xr3:uid="{3DEB0C2B-321B-4478-AE25-9686710130CA}" name="marge latérale"/>
    <tableColumn id="14" xr3:uid="{632ACE8F-7029-4779-8D41-803C938CD3E4}" name="marge latérale combiné"/>
    <tableColumn id="15" xr3:uid="{F68CCD84-4621-4996-A29B-1546B54B5564}" name="Colonne15"/>
    <tableColumn id="16" xr3:uid="{21670944-63E5-464E-AFE9-0714C6FC0764}" name="Colonne16"/>
    <tableColumn id="17" xr3:uid="{D614479D-9304-4875-841A-5A5BD50504F8}" name="Colonne17"/>
    <tableColumn id="18" xr3:uid="{9A02E7A1-6FA9-45EA-AA4E-D5E281AB46A9}" name="Colonne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A2790B-66E8-4B54-875A-D29039397785}" name="Tableau4" displayName="Tableau4" ref="A1:V6" totalsRowShown="0">
  <autoFilter ref="A1:V6" xr:uid="{4BA2790B-66E8-4B54-875A-D29039397785}"/>
  <tableColumns count="22">
    <tableColumn id="1" xr3:uid="{570B1BE3-DCE5-4E91-AD46-AA6F393409A5}" name="Zone"/>
    <tableColumn id="2" xr3:uid="{1592C457-006B-4D77-B020-52CF0F78AB0E}" name="604-Ia"/>
    <tableColumn id="3" xr3:uid="{5491FB93-CF44-4189-8614-11636B154F26}" name="632-Ib"/>
    <tableColumn id="4" xr3:uid="{23102AA0-3E6A-4FDF-A0BB-B28F3D30AF21}" name="633-Ib"/>
    <tableColumn id="5" xr3:uid="{14B0FE9F-D01F-424B-BFC4-0A7872C8D131}" name="657-Ia"/>
    <tableColumn id="6" xr3:uid="{9379233A-1236-43BB-84DF-0DC98C47E773}" name="658-Ia"/>
    <tableColumn id="7" xr3:uid="{09130A0F-8509-4E3F-8CBC-33784A7100EC}" name="660-Ia"/>
    <tableColumn id="8" xr3:uid="{C4E3CBDE-F810-4EB2-A1F8-192D79663578}" name="699-Ib"/>
    <tableColumn id="9" xr3:uid="{7D3B67FB-E6A7-46F1-87A9-41BB1259B430}" name="804-Ia"/>
    <tableColumn id="10" xr3:uid="{3C54CCCA-3685-4BDE-8D50-3CD5E6287248}" name="826-Ia"/>
    <tableColumn id="11" xr3:uid="{302FE9DA-E890-4F43-A86B-BBB2A2572CC1}" name="890-Ib"/>
    <tableColumn id="12" xr3:uid="{5D530F09-3A00-4540-AFB2-B6D1952E66E9}" name="892-Ib"/>
    <tableColumn id="13" xr3:uid="{87A7DCB7-DCBA-4F73-94F9-382D46FF6A66}" name="894-Ia"/>
    <tableColumn id="14" xr3:uid="{B8C59B23-8A73-4EBB-89C0-875589555FF2}" name="898-Ia"/>
    <tableColumn id="15" xr3:uid="{103D19FA-4579-4326-A428-4EE205079E2E}" name="899-Ia"/>
    <tableColumn id="16" xr3:uid="{A5585028-3A83-4510-9400-AA312E627D28}" name="900-Ia"/>
    <tableColumn id="17" xr3:uid="{DD43133A-2E4E-4495-AF28-8D4A472BC4E4}" name="901-Ia"/>
    <tableColumn id="18" xr3:uid="{2B186BD8-2821-4AFA-8998-128D1AAF5126}" name="939-Ia"/>
    <tableColumn id="19" xr3:uid="{40CD6A3B-BEF2-440A-8419-2CC3E0F2D874}" name="940-Ia"/>
    <tableColumn id="20" xr3:uid="{97B33981-ECB5-4975-9753-8DA693FE3689}" name="945-Ia"/>
    <tableColumn id="21" xr3:uid="{890D2CD7-0590-415C-B07C-7EC6EB8CFE24}" name="946-Ia"/>
    <tableColumn id="22" xr3:uid="{BE517AA3-A34F-4530-847D-4265ADBD7CB0}" name="1000-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2B44-817A-4F40-814F-6CD3312E175D}">
  <sheetPr>
    <tabColor theme="6"/>
    <pageSetUpPr fitToPage="1"/>
  </sheetPr>
  <dimension ref="A2:P76"/>
  <sheetViews>
    <sheetView showGridLines="0" zoomScaleNormal="100" workbookViewId="0">
      <selection activeCell="E42" sqref="E42"/>
    </sheetView>
  </sheetViews>
  <sheetFormatPr baseColWidth="10" defaultColWidth="11.42578125" defaultRowHeight="15" x14ac:dyDescent="0.25"/>
  <cols>
    <col min="1" max="1" width="19.42578125" customWidth="1"/>
    <col min="2" max="2" width="58.85546875" style="1" bestFit="1" customWidth="1"/>
    <col min="3" max="3" width="28.5703125" style="3" bestFit="1" customWidth="1"/>
    <col min="4" max="4" width="55.85546875" style="1" bestFit="1" customWidth="1"/>
    <col min="5" max="5" width="31.28515625" style="3" bestFit="1" customWidth="1"/>
    <col min="6" max="6" width="45.5703125" style="1" bestFit="1" customWidth="1"/>
    <col min="7" max="7" width="28.85546875" bestFit="1" customWidth="1"/>
    <col min="8" max="8" width="25.5703125" customWidth="1"/>
    <col min="9" max="9" width="36.42578125" bestFit="1" customWidth="1"/>
    <col min="10" max="10" width="14.28515625" customWidth="1"/>
    <col min="11" max="11" width="13.5703125" customWidth="1"/>
    <col min="12" max="12" width="14.140625" customWidth="1"/>
    <col min="13" max="13" width="34.42578125" customWidth="1"/>
  </cols>
  <sheetData>
    <row r="2" spans="1:7" ht="96.75" customHeight="1" x14ac:dyDescent="0.25">
      <c r="A2" s="24"/>
      <c r="B2" s="72" t="s">
        <v>0</v>
      </c>
      <c r="C2" s="72"/>
      <c r="D2" s="72"/>
      <c r="E2" s="72"/>
      <c r="F2" s="73"/>
      <c r="G2" s="21" t="s">
        <v>280</v>
      </c>
    </row>
    <row r="4" spans="1:7" ht="24.75" customHeight="1" x14ac:dyDescent="0.35">
      <c r="A4" s="94" t="s">
        <v>1</v>
      </c>
      <c r="B4" s="55" t="s">
        <v>2</v>
      </c>
      <c r="C4" s="35" t="s">
        <v>3</v>
      </c>
      <c r="D4" s="26" t="s">
        <v>4</v>
      </c>
      <c r="E4" s="27" t="s">
        <v>5</v>
      </c>
      <c r="F4" s="26" t="s">
        <v>6</v>
      </c>
      <c r="G4" s="28" t="s">
        <v>7</v>
      </c>
    </row>
    <row r="5" spans="1:7" ht="24.75" customHeight="1" x14ac:dyDescent="0.35">
      <c r="A5" s="95"/>
      <c r="B5" s="51" t="s">
        <v>8</v>
      </c>
      <c r="C5" s="57" t="s">
        <v>9</v>
      </c>
      <c r="D5" s="29" t="s">
        <v>10</v>
      </c>
      <c r="E5" s="30" t="s">
        <v>158</v>
      </c>
      <c r="F5" s="29" t="s">
        <v>12</v>
      </c>
      <c r="G5" s="31" t="s">
        <v>13</v>
      </c>
    </row>
    <row r="6" spans="1:7" ht="24.75" customHeight="1" x14ac:dyDescent="0.35">
      <c r="A6" s="95"/>
      <c r="B6" s="51" t="s">
        <v>14</v>
      </c>
      <c r="C6" s="30"/>
      <c r="D6" s="29" t="s">
        <v>15</v>
      </c>
      <c r="E6" s="30">
        <f>HLOOKUP($E$5,marge!$B$1:$V$5,2,0)</f>
        <v>15</v>
      </c>
      <c r="F6" s="29" t="s">
        <v>276</v>
      </c>
      <c r="G6" s="31"/>
    </row>
    <row r="7" spans="1:7" ht="24.75" customHeight="1" x14ac:dyDescent="0.35">
      <c r="A7" s="95"/>
      <c r="B7" s="51" t="s">
        <v>18</v>
      </c>
      <c r="C7" s="30" t="s">
        <v>19</v>
      </c>
      <c r="D7" s="29" t="s">
        <v>20</v>
      </c>
      <c r="E7" s="30">
        <f>HLOOKUP($E$5,marge!$B$1:$V$5,3,0)</f>
        <v>7.5</v>
      </c>
      <c r="F7" s="29" t="s">
        <v>277</v>
      </c>
      <c r="G7" s="31"/>
    </row>
    <row r="8" spans="1:7" ht="24.75" customHeight="1" x14ac:dyDescent="0.35">
      <c r="A8" s="95"/>
      <c r="B8" s="51" t="s">
        <v>21</v>
      </c>
      <c r="C8" s="30">
        <v>0</v>
      </c>
      <c r="D8" s="29" t="s">
        <v>22</v>
      </c>
      <c r="E8" s="30">
        <f>HLOOKUP($E$5,marge!$B$1:$V$5,4,0)</f>
        <v>4</v>
      </c>
      <c r="F8" s="29" t="s">
        <v>278</v>
      </c>
      <c r="G8" s="31"/>
    </row>
    <row r="9" spans="1:7" ht="24.75" customHeight="1" x14ac:dyDescent="0.35">
      <c r="A9" s="95"/>
      <c r="B9" s="51" t="s">
        <v>23</v>
      </c>
      <c r="C9" s="56">
        <v>0</v>
      </c>
      <c r="D9" s="29" t="s">
        <v>24</v>
      </c>
      <c r="E9" s="30">
        <f>HLOOKUP($E$5,marge!$B$1:$V$5,5,0)</f>
        <v>10</v>
      </c>
      <c r="F9" s="29" t="s">
        <v>279</v>
      </c>
      <c r="G9" s="31"/>
    </row>
    <row r="10" spans="1:7" ht="24.75" customHeight="1" x14ac:dyDescent="0.35">
      <c r="A10" s="96"/>
      <c r="B10" s="52" t="s">
        <v>25</v>
      </c>
      <c r="C10" s="102" t="s">
        <v>26</v>
      </c>
      <c r="D10" s="103"/>
      <c r="E10" s="104"/>
      <c r="F10" s="29" t="s">
        <v>16</v>
      </c>
      <c r="G10" s="31" t="s">
        <v>17</v>
      </c>
    </row>
    <row r="11" spans="1:7" ht="24.75" customHeight="1" x14ac:dyDescent="0.4">
      <c r="A11" s="25"/>
    </row>
    <row r="12" spans="1:7" ht="24.75" customHeight="1" x14ac:dyDescent="0.35">
      <c r="A12" s="74" t="s">
        <v>27</v>
      </c>
      <c r="B12" s="26" t="s">
        <v>28</v>
      </c>
      <c r="C12" s="35">
        <v>0</v>
      </c>
      <c r="D12" s="36" t="s">
        <v>29</v>
      </c>
      <c r="E12" s="90" t="s">
        <v>30</v>
      </c>
      <c r="F12" s="90"/>
      <c r="G12" s="91"/>
    </row>
    <row r="13" spans="1:7" ht="24.75" customHeight="1" x14ac:dyDescent="0.35">
      <c r="A13" s="75"/>
      <c r="B13" s="29" t="s">
        <v>31</v>
      </c>
      <c r="C13" s="30">
        <v>0</v>
      </c>
      <c r="D13" s="37" t="s">
        <v>32</v>
      </c>
      <c r="E13" s="88" t="s">
        <v>30</v>
      </c>
      <c r="F13" s="88"/>
      <c r="G13" s="89"/>
    </row>
    <row r="14" spans="1:7" ht="24.75" customHeight="1" x14ac:dyDescent="0.35">
      <c r="A14" s="75"/>
      <c r="B14" s="29" t="s">
        <v>33</v>
      </c>
      <c r="C14" s="30">
        <v>0</v>
      </c>
      <c r="D14" s="37" t="s">
        <v>34</v>
      </c>
      <c r="E14" s="88" t="s">
        <v>17</v>
      </c>
      <c r="F14" s="88"/>
      <c r="G14" s="89"/>
    </row>
    <row r="15" spans="1:7" ht="24.75" customHeight="1" x14ac:dyDescent="0.35">
      <c r="A15" s="75"/>
      <c r="B15" s="29" t="s">
        <v>35</v>
      </c>
      <c r="C15" s="30">
        <v>0</v>
      </c>
      <c r="D15" s="37" t="s">
        <v>36</v>
      </c>
      <c r="E15" s="88" t="s">
        <v>37</v>
      </c>
      <c r="F15" s="88"/>
      <c r="G15" s="89"/>
    </row>
    <row r="16" spans="1:7" ht="24.75" customHeight="1" x14ac:dyDescent="0.35">
      <c r="A16" s="76"/>
      <c r="B16" s="32" t="s">
        <v>38</v>
      </c>
      <c r="C16" s="33">
        <v>0</v>
      </c>
      <c r="D16" s="39" t="s">
        <v>39</v>
      </c>
      <c r="E16" s="86" t="s">
        <v>37</v>
      </c>
      <c r="F16" s="86"/>
      <c r="G16" s="87"/>
    </row>
    <row r="17" spans="1:7" ht="24.75" customHeight="1" x14ac:dyDescent="0.4">
      <c r="A17" s="25"/>
    </row>
    <row r="18" spans="1:7" ht="30" customHeight="1" x14ac:dyDescent="0.35">
      <c r="A18" s="74" t="s">
        <v>40</v>
      </c>
      <c r="B18" s="26" t="s">
        <v>41</v>
      </c>
      <c r="C18" s="90">
        <v>0</v>
      </c>
      <c r="D18" s="90"/>
      <c r="E18" s="90"/>
      <c r="F18" s="90"/>
      <c r="G18" s="91"/>
    </row>
    <row r="19" spans="1:7" ht="30" customHeight="1" x14ac:dyDescent="0.35">
      <c r="A19" s="75"/>
      <c r="B19" s="29" t="s">
        <v>42</v>
      </c>
      <c r="C19" s="40" t="s">
        <v>43</v>
      </c>
      <c r="D19" s="40" t="s">
        <v>32</v>
      </c>
      <c r="E19" s="40" t="s">
        <v>44</v>
      </c>
      <c r="F19" s="40" t="s">
        <v>45</v>
      </c>
      <c r="G19" s="41" t="s">
        <v>46</v>
      </c>
    </row>
    <row r="20" spans="1:7" ht="30" customHeight="1" x14ac:dyDescent="0.35">
      <c r="A20" s="75"/>
      <c r="B20" s="42"/>
      <c r="C20" s="30" t="s">
        <v>30</v>
      </c>
      <c r="D20" s="30" t="s">
        <v>37</v>
      </c>
      <c r="E20" s="30" t="s">
        <v>47</v>
      </c>
      <c r="F20" s="30"/>
      <c r="G20" s="38"/>
    </row>
    <row r="21" spans="1:7" ht="30" customHeight="1" x14ac:dyDescent="0.35">
      <c r="A21" s="75"/>
      <c r="B21" s="42"/>
      <c r="C21" s="30"/>
      <c r="D21" s="30"/>
      <c r="E21" s="30"/>
      <c r="F21" s="30"/>
      <c r="G21" s="38"/>
    </row>
    <row r="22" spans="1:7" ht="30" customHeight="1" x14ac:dyDescent="0.35">
      <c r="A22" s="75"/>
      <c r="B22" s="30" t="s">
        <v>281</v>
      </c>
      <c r="C22" s="30"/>
      <c r="D22" s="30"/>
      <c r="E22" s="30"/>
      <c r="F22" s="30"/>
      <c r="G22" s="38"/>
    </row>
    <row r="23" spans="1:7" ht="30" customHeight="1" thickBot="1" x14ac:dyDescent="0.4">
      <c r="A23" s="75"/>
      <c r="B23" s="105"/>
      <c r="C23" s="105"/>
      <c r="D23" s="105"/>
      <c r="E23" s="105"/>
      <c r="F23" s="105"/>
      <c r="G23" s="106" t="s">
        <v>204</v>
      </c>
    </row>
    <row r="24" spans="1:7" ht="30" customHeight="1" thickBot="1" x14ac:dyDescent="0.4">
      <c r="A24" s="75"/>
      <c r="B24" s="118" t="s">
        <v>44</v>
      </c>
      <c r="C24" s="114"/>
      <c r="D24" s="115"/>
      <c r="E24" s="115"/>
      <c r="F24" s="115"/>
      <c r="G24" s="116"/>
    </row>
    <row r="25" spans="1:7" ht="30" customHeight="1" x14ac:dyDescent="0.35">
      <c r="A25" s="75"/>
      <c r="B25" s="117" t="s">
        <v>289</v>
      </c>
      <c r="C25" s="112" t="s">
        <v>288</v>
      </c>
      <c r="D25" s="107" t="s">
        <v>282</v>
      </c>
      <c r="E25" s="107" t="s">
        <v>283</v>
      </c>
      <c r="F25" s="105"/>
      <c r="G25" s="108"/>
    </row>
    <row r="26" spans="1:7" ht="30" customHeight="1" x14ac:dyDescent="0.35">
      <c r="A26" s="75"/>
      <c r="B26" s="113"/>
      <c r="C26" s="105"/>
      <c r="D26" s="105"/>
      <c r="E26" s="105"/>
      <c r="F26" s="105"/>
      <c r="G26" s="108"/>
    </row>
    <row r="27" spans="1:7" ht="30" customHeight="1" thickBot="1" x14ac:dyDescent="0.4">
      <c r="A27" s="76"/>
      <c r="B27" s="109"/>
      <c r="C27" s="110"/>
      <c r="D27" s="110"/>
      <c r="E27" s="110"/>
      <c r="F27" s="110"/>
      <c r="G27" s="111"/>
    </row>
    <row r="28" spans="1:7" ht="24.75" customHeight="1" thickBot="1" x14ac:dyDescent="0.45">
      <c r="A28" s="25"/>
    </row>
    <row r="29" spans="1:7" ht="24.75" customHeight="1" x14ac:dyDescent="0.35">
      <c r="A29" s="74" t="s">
        <v>48</v>
      </c>
      <c r="B29" s="92" t="s">
        <v>49</v>
      </c>
      <c r="C29" s="92"/>
      <c r="D29" s="92"/>
      <c r="E29" s="92"/>
      <c r="F29" s="92"/>
      <c r="G29" s="93"/>
    </row>
    <row r="30" spans="1:7" ht="24.75" customHeight="1" x14ac:dyDescent="0.35">
      <c r="A30" s="75"/>
      <c r="B30" s="29" t="s">
        <v>50</v>
      </c>
      <c r="C30" s="30">
        <v>0</v>
      </c>
      <c r="D30" s="29" t="s">
        <v>51</v>
      </c>
      <c r="E30" s="30"/>
      <c r="F30" s="29" t="s">
        <v>52</v>
      </c>
      <c r="G30" s="38" t="s">
        <v>17</v>
      </c>
    </row>
    <row r="31" spans="1:7" ht="24.75" customHeight="1" x14ac:dyDescent="0.35">
      <c r="A31" s="75"/>
      <c r="B31" s="29" t="s">
        <v>53</v>
      </c>
      <c r="C31" s="30" t="s">
        <v>17</v>
      </c>
      <c r="D31" s="29" t="s">
        <v>54</v>
      </c>
      <c r="E31" s="30" t="s">
        <v>17</v>
      </c>
      <c r="F31" s="43"/>
      <c r="G31" s="31"/>
    </row>
    <row r="32" spans="1:7" ht="24.75" customHeight="1" x14ac:dyDescent="0.35">
      <c r="A32" s="75"/>
      <c r="B32" s="29"/>
      <c r="C32" s="30"/>
      <c r="D32" s="29"/>
      <c r="E32" s="30"/>
      <c r="F32" s="43"/>
      <c r="G32" s="31"/>
    </row>
    <row r="33" spans="1:12" ht="30.75" customHeight="1" x14ac:dyDescent="0.35">
      <c r="A33" s="75"/>
      <c r="B33" s="29"/>
      <c r="C33" s="30"/>
      <c r="D33" s="29"/>
      <c r="E33" s="30"/>
      <c r="F33" s="43"/>
      <c r="G33" s="31"/>
    </row>
    <row r="34" spans="1:12" ht="24.75" customHeight="1" x14ac:dyDescent="0.35">
      <c r="A34" s="75"/>
      <c r="B34" s="97" t="s">
        <v>55</v>
      </c>
      <c r="C34" s="97"/>
      <c r="D34" s="97"/>
      <c r="E34" s="97"/>
      <c r="F34" s="97"/>
      <c r="G34" s="98"/>
    </row>
    <row r="35" spans="1:12" ht="24.75" customHeight="1" x14ac:dyDescent="0.35">
      <c r="A35" s="75"/>
      <c r="B35" s="53" t="s">
        <v>56</v>
      </c>
      <c r="C35" s="30">
        <v>0</v>
      </c>
      <c r="D35" s="29" t="s">
        <v>57</v>
      </c>
      <c r="E35" s="30" t="s">
        <v>17</v>
      </c>
      <c r="F35" s="53" t="s">
        <v>58</v>
      </c>
      <c r="G35" s="31" t="s">
        <v>30</v>
      </c>
    </row>
    <row r="36" spans="1:12" ht="21" x14ac:dyDescent="0.35">
      <c r="A36" s="75"/>
      <c r="B36" s="53" t="s">
        <v>59</v>
      </c>
      <c r="C36" s="30">
        <v>0</v>
      </c>
      <c r="D36" s="29" t="s">
        <v>60</v>
      </c>
      <c r="E36" s="30" t="s">
        <v>30</v>
      </c>
      <c r="F36" s="53" t="s">
        <v>61</v>
      </c>
      <c r="G36" s="31" t="s">
        <v>30</v>
      </c>
    </row>
    <row r="37" spans="1:12" ht="42" x14ac:dyDescent="0.35">
      <c r="A37" s="75"/>
      <c r="B37" s="53" t="s">
        <v>62</v>
      </c>
      <c r="C37" s="30">
        <f>C35*C36</f>
        <v>0</v>
      </c>
      <c r="D37" s="29" t="s">
        <v>63</v>
      </c>
      <c r="E37" s="30" t="s">
        <v>37</v>
      </c>
      <c r="F37" s="53" t="s">
        <v>64</v>
      </c>
      <c r="G37" s="38" t="s">
        <v>17</v>
      </c>
    </row>
    <row r="38" spans="1:12" ht="42" x14ac:dyDescent="0.35">
      <c r="A38" s="75"/>
      <c r="B38" s="54" t="s">
        <v>65</v>
      </c>
      <c r="C38" s="30">
        <v>0</v>
      </c>
      <c r="D38" s="29" t="s">
        <v>66</v>
      </c>
      <c r="E38" s="30" t="s">
        <v>30</v>
      </c>
      <c r="F38" s="53" t="s">
        <v>67</v>
      </c>
      <c r="G38" s="38" t="s">
        <v>17</v>
      </c>
    </row>
    <row r="39" spans="1:12" ht="24.75" customHeight="1" x14ac:dyDescent="0.35">
      <c r="A39" s="75"/>
      <c r="B39" s="53" t="s">
        <v>68</v>
      </c>
      <c r="C39" s="30" t="s">
        <v>30</v>
      </c>
      <c r="D39" s="29" t="s">
        <v>69</v>
      </c>
      <c r="E39" s="30" t="s">
        <v>30</v>
      </c>
      <c r="F39" s="53" t="s">
        <v>70</v>
      </c>
      <c r="G39" s="38" t="s">
        <v>17</v>
      </c>
    </row>
    <row r="40" spans="1:12" ht="24.75" customHeight="1" x14ac:dyDescent="0.35">
      <c r="A40" s="75"/>
      <c r="B40" s="119" t="s">
        <v>290</v>
      </c>
      <c r="C40" s="30" t="s">
        <v>30</v>
      </c>
      <c r="D40" s="29" t="s">
        <v>71</v>
      </c>
      <c r="E40" s="30" t="s">
        <v>17</v>
      </c>
      <c r="F40" s="53" t="s">
        <v>72</v>
      </c>
      <c r="G40" s="31" t="s">
        <v>30</v>
      </c>
    </row>
    <row r="41" spans="1:12" ht="24.75" customHeight="1" x14ac:dyDescent="0.35">
      <c r="A41" s="75"/>
      <c r="B41" s="99"/>
      <c r="C41" s="100"/>
      <c r="D41" s="100"/>
      <c r="E41" s="100"/>
      <c r="F41" s="100"/>
      <c r="G41" s="101"/>
    </row>
    <row r="42" spans="1:12" ht="24.75" customHeight="1" x14ac:dyDescent="0.35">
      <c r="A42" s="76"/>
      <c r="B42" s="32" t="s">
        <v>73</v>
      </c>
      <c r="C42" s="33" t="s">
        <v>74</v>
      </c>
      <c r="D42" s="32" t="s">
        <v>52</v>
      </c>
      <c r="E42" s="33" t="s">
        <v>47</v>
      </c>
      <c r="F42" s="32" t="s">
        <v>75</v>
      </c>
      <c r="G42" s="34" t="s">
        <v>30</v>
      </c>
    </row>
    <row r="43" spans="1:12" ht="24.75" customHeight="1" x14ac:dyDescent="0.4">
      <c r="A43" s="25"/>
    </row>
    <row r="44" spans="1:12" ht="30.75" customHeight="1" x14ac:dyDescent="0.35">
      <c r="A44" s="74" t="s">
        <v>76</v>
      </c>
      <c r="B44" s="26" t="s">
        <v>77</v>
      </c>
      <c r="C44" s="90">
        <f>C38+C12</f>
        <v>0</v>
      </c>
      <c r="D44" s="90"/>
      <c r="E44" s="90"/>
      <c r="F44" s="90"/>
      <c r="G44" s="91"/>
    </row>
    <row r="45" spans="1:12" ht="30.75" customHeight="1" x14ac:dyDescent="0.35">
      <c r="A45" s="75"/>
      <c r="B45" s="29" t="s">
        <v>78</v>
      </c>
      <c r="C45" s="88" t="s">
        <v>17</v>
      </c>
      <c r="D45" s="88"/>
      <c r="E45" s="88"/>
      <c r="F45" s="88"/>
      <c r="G45" s="89"/>
    </row>
    <row r="46" spans="1:12" ht="30.75" customHeight="1" x14ac:dyDescent="0.35">
      <c r="A46" s="76"/>
      <c r="B46" s="32" t="s">
        <v>79</v>
      </c>
      <c r="C46" s="86" t="s">
        <v>47</v>
      </c>
      <c r="D46" s="86"/>
      <c r="E46" s="86"/>
      <c r="F46" s="86"/>
      <c r="G46" s="87"/>
    </row>
    <row r="47" spans="1:12" ht="24.75" customHeight="1" x14ac:dyDescent="0.4">
      <c r="A47" s="25"/>
    </row>
    <row r="48" spans="1:12" ht="24.75" customHeight="1" x14ac:dyDescent="0.35">
      <c r="A48" s="74" t="s">
        <v>80</v>
      </c>
      <c r="B48" s="26" t="s">
        <v>81</v>
      </c>
      <c r="C48" s="80" t="s">
        <v>82</v>
      </c>
      <c r="D48" s="81"/>
      <c r="E48" s="81"/>
      <c r="F48" s="81"/>
      <c r="G48" s="82"/>
      <c r="I48" s="11" t="s">
        <v>83</v>
      </c>
      <c r="J48" s="12" t="s">
        <v>84</v>
      </c>
      <c r="K48" s="12" t="s">
        <v>85</v>
      </c>
      <c r="L48" s="13" t="s">
        <v>86</v>
      </c>
    </row>
    <row r="49" spans="1:16" ht="24.75" customHeight="1" x14ac:dyDescent="0.35">
      <c r="A49" s="75"/>
      <c r="B49" s="83"/>
      <c r="C49" s="84"/>
      <c r="D49" s="84"/>
      <c r="E49" s="84"/>
      <c r="F49" s="84"/>
      <c r="G49" s="85"/>
      <c r="I49" s="9"/>
      <c r="J49" s="22"/>
      <c r="K49" s="22"/>
      <c r="L49" s="23"/>
    </row>
    <row r="50" spans="1:16" ht="24.75" customHeight="1" x14ac:dyDescent="0.35">
      <c r="A50" s="75"/>
      <c r="B50" s="44" t="s">
        <v>87</v>
      </c>
      <c r="C50" s="44" t="s">
        <v>88</v>
      </c>
      <c r="D50" s="44" t="s">
        <v>89</v>
      </c>
      <c r="E50" s="44" t="s">
        <v>90</v>
      </c>
      <c r="F50" s="44" t="s">
        <v>91</v>
      </c>
      <c r="G50" s="45" t="s">
        <v>92</v>
      </c>
      <c r="I50" s="9"/>
      <c r="J50" s="22"/>
      <c r="K50" s="22"/>
      <c r="L50" s="23"/>
    </row>
    <row r="51" spans="1:16" ht="24.75" customHeight="1" x14ac:dyDescent="0.35">
      <c r="A51" s="75"/>
      <c r="B51" s="29" t="s">
        <v>93</v>
      </c>
      <c r="C51" s="30"/>
      <c r="D51" s="43"/>
      <c r="E51" s="30"/>
      <c r="F51" s="43"/>
      <c r="G51" s="31"/>
      <c r="I51" s="9" t="s">
        <v>94</v>
      </c>
      <c r="J51" t="s">
        <v>95</v>
      </c>
      <c r="K51" t="s">
        <v>30</v>
      </c>
      <c r="L51" s="8" t="s">
        <v>96</v>
      </c>
    </row>
    <row r="52" spans="1:16" ht="24.75" customHeight="1" x14ac:dyDescent="0.35">
      <c r="A52" s="75"/>
      <c r="B52" s="29" t="s">
        <v>97</v>
      </c>
      <c r="C52" s="30"/>
      <c r="D52" s="43"/>
      <c r="E52" s="30"/>
      <c r="F52" s="43"/>
      <c r="G52" s="31"/>
      <c r="I52" s="9" t="s">
        <v>98</v>
      </c>
      <c r="J52" t="s">
        <v>99</v>
      </c>
      <c r="K52" t="s">
        <v>100</v>
      </c>
      <c r="L52" s="4" t="s">
        <v>99</v>
      </c>
    </row>
    <row r="53" spans="1:16" ht="24.75" customHeight="1" x14ac:dyDescent="0.35">
      <c r="A53" s="76"/>
      <c r="B53" s="32" t="s">
        <v>101</v>
      </c>
      <c r="C53" s="33"/>
      <c r="D53" s="46"/>
      <c r="E53" s="33"/>
      <c r="F53" s="46"/>
      <c r="G53" s="47"/>
      <c r="I53" s="10" t="s">
        <v>102</v>
      </c>
      <c r="J53" s="6" t="s">
        <v>103</v>
      </c>
      <c r="K53" s="6" t="s">
        <v>104</v>
      </c>
      <c r="L53" s="5" t="s">
        <v>103</v>
      </c>
    </row>
    <row r="54" spans="1:16" ht="24.75" customHeight="1" x14ac:dyDescent="0.4">
      <c r="A54" s="25"/>
      <c r="I54" s="9" t="s">
        <v>94</v>
      </c>
      <c r="J54" t="s">
        <v>105</v>
      </c>
      <c r="K54" t="s">
        <v>30</v>
      </c>
      <c r="L54" s="8" t="s">
        <v>96</v>
      </c>
    </row>
    <row r="55" spans="1:16" ht="24.75" customHeight="1" x14ac:dyDescent="0.35">
      <c r="A55" s="74" t="s">
        <v>106</v>
      </c>
      <c r="B55" s="26" t="s">
        <v>107</v>
      </c>
      <c r="C55" s="80" t="s">
        <v>17</v>
      </c>
      <c r="D55" s="81"/>
      <c r="E55" s="81"/>
      <c r="F55" s="81"/>
      <c r="G55" s="82"/>
    </row>
    <row r="56" spans="1:16" ht="24.75" customHeight="1" x14ac:dyDescent="0.35">
      <c r="A56" s="75"/>
      <c r="B56" s="77"/>
      <c r="C56" s="78"/>
      <c r="D56" s="78"/>
      <c r="E56" s="78"/>
      <c r="F56" s="78"/>
      <c r="G56" s="79"/>
    </row>
    <row r="57" spans="1:16" ht="24.75" customHeight="1" x14ac:dyDescent="0.35">
      <c r="A57" s="75"/>
      <c r="B57" s="48" t="s">
        <v>108</v>
      </c>
      <c r="C57" s="44" t="s">
        <v>109</v>
      </c>
      <c r="D57" s="44" t="s">
        <v>110</v>
      </c>
      <c r="E57" s="49" t="s">
        <v>111</v>
      </c>
      <c r="F57" s="49" t="s">
        <v>112</v>
      </c>
      <c r="G57" s="50" t="s">
        <v>113</v>
      </c>
      <c r="I57" s="11" t="s">
        <v>114</v>
      </c>
      <c r="J57" s="12" t="s">
        <v>84</v>
      </c>
      <c r="K57" s="12" t="s">
        <v>85</v>
      </c>
      <c r="L57" s="13" t="s">
        <v>86</v>
      </c>
    </row>
    <row r="58" spans="1:16" ht="24.75" customHeight="1" x14ac:dyDescent="0.35">
      <c r="A58" s="75"/>
      <c r="B58" s="51" t="s">
        <v>115</v>
      </c>
      <c r="C58" s="30"/>
      <c r="D58" s="43"/>
      <c r="E58" s="43"/>
      <c r="F58" s="43"/>
      <c r="G58" s="31"/>
      <c r="I58" s="9" t="s">
        <v>94</v>
      </c>
      <c r="J58" t="s">
        <v>105</v>
      </c>
      <c r="K58" t="s">
        <v>30</v>
      </c>
      <c r="L58" s="8" t="s">
        <v>96</v>
      </c>
    </row>
    <row r="59" spans="1:16" ht="24.75" customHeight="1" x14ac:dyDescent="0.35">
      <c r="A59" s="75"/>
      <c r="B59" s="51" t="s">
        <v>116</v>
      </c>
      <c r="C59" s="30"/>
      <c r="D59" s="43"/>
      <c r="E59" s="30"/>
      <c r="F59" s="43"/>
      <c r="G59" s="31"/>
      <c r="I59" s="9" t="s">
        <v>98</v>
      </c>
      <c r="J59" t="s">
        <v>99</v>
      </c>
      <c r="K59" t="s">
        <v>100</v>
      </c>
      <c r="L59" s="4" t="s">
        <v>99</v>
      </c>
    </row>
    <row r="60" spans="1:16" ht="24.75" customHeight="1" x14ac:dyDescent="0.35">
      <c r="A60" s="76"/>
      <c r="B60" s="52" t="s">
        <v>117</v>
      </c>
      <c r="C60" s="33"/>
      <c r="D60" s="46"/>
      <c r="E60" s="33"/>
      <c r="F60" s="46"/>
      <c r="G60" s="47"/>
      <c r="I60" s="9" t="s">
        <v>102</v>
      </c>
      <c r="J60" t="s">
        <v>118</v>
      </c>
      <c r="K60" t="s">
        <v>118</v>
      </c>
      <c r="L60" s="4" t="s">
        <v>118</v>
      </c>
    </row>
    <row r="61" spans="1:16" ht="24.75" customHeight="1" x14ac:dyDescent="0.25">
      <c r="I61" s="10" t="s">
        <v>119</v>
      </c>
      <c r="J61" s="6" t="s">
        <v>105</v>
      </c>
      <c r="K61" s="6" t="s">
        <v>105</v>
      </c>
      <c r="L61" s="5" t="s">
        <v>105</v>
      </c>
      <c r="M61" t="s">
        <v>120</v>
      </c>
    </row>
    <row r="62" spans="1:16" ht="24.75" customHeight="1" x14ac:dyDescent="0.25">
      <c r="A62" s="68" t="s">
        <v>121</v>
      </c>
      <c r="B62" s="69"/>
      <c r="C62" s="60"/>
      <c r="D62" s="61"/>
      <c r="E62" s="58" t="s">
        <v>122</v>
      </c>
      <c r="F62" s="64"/>
      <c r="G62" s="65"/>
    </row>
    <row r="63" spans="1:16" ht="24.75" customHeight="1" x14ac:dyDescent="0.25">
      <c r="A63" s="70"/>
      <c r="B63" s="71"/>
      <c r="C63" s="62"/>
      <c r="D63" s="63"/>
      <c r="E63" s="59"/>
      <c r="F63" s="66"/>
      <c r="G63" s="67"/>
    </row>
    <row r="64" spans="1:16" x14ac:dyDescent="0.25">
      <c r="O64" s="14"/>
      <c r="P64" s="14"/>
    </row>
    <row r="72" spans="3:7" x14ac:dyDescent="0.25">
      <c r="C72" s="7" t="s">
        <v>123</v>
      </c>
      <c r="D72" s="18" t="s">
        <v>124</v>
      </c>
      <c r="E72" s="17" t="s">
        <v>125</v>
      </c>
      <c r="F72" s="2" t="s">
        <v>126</v>
      </c>
      <c r="G72" s="2" t="s">
        <v>127</v>
      </c>
    </row>
    <row r="73" spans="3:7" ht="36.75" customHeight="1" x14ac:dyDescent="0.25">
      <c r="C73" s="16" t="s">
        <v>128</v>
      </c>
      <c r="D73" s="19" t="s">
        <v>129</v>
      </c>
      <c r="E73" s="20">
        <v>0.5</v>
      </c>
      <c r="F73" s="20">
        <v>1</v>
      </c>
      <c r="G73" s="20">
        <v>1</v>
      </c>
    </row>
    <row r="74" spans="3:7" ht="51" customHeight="1" x14ac:dyDescent="0.25">
      <c r="C74" s="16" t="s">
        <v>130</v>
      </c>
      <c r="D74" s="19" t="s">
        <v>131</v>
      </c>
      <c r="E74" s="20">
        <v>1</v>
      </c>
      <c r="F74" s="20">
        <v>1</v>
      </c>
      <c r="G74" s="20">
        <v>1</v>
      </c>
    </row>
    <row r="75" spans="3:7" ht="51" customHeight="1" x14ac:dyDescent="0.25">
      <c r="C75" s="16" t="s">
        <v>132</v>
      </c>
      <c r="D75" s="19" t="s">
        <v>133</v>
      </c>
      <c r="E75" s="20">
        <v>0.5</v>
      </c>
      <c r="F75" s="20">
        <v>1</v>
      </c>
      <c r="G75" s="20">
        <v>1</v>
      </c>
    </row>
    <row r="76" spans="3:7" ht="30.75" customHeight="1" x14ac:dyDescent="0.25">
      <c r="C76" s="16" t="s">
        <v>134</v>
      </c>
      <c r="D76" s="19" t="s">
        <v>135</v>
      </c>
      <c r="E76" s="20">
        <v>0</v>
      </c>
      <c r="F76" s="20">
        <v>1</v>
      </c>
      <c r="G76" s="20">
        <v>1</v>
      </c>
    </row>
  </sheetData>
  <mergeCells count="29">
    <mergeCell ref="A48:A53"/>
    <mergeCell ref="A12:A16"/>
    <mergeCell ref="E15:G15"/>
    <mergeCell ref="E16:G16"/>
    <mergeCell ref="A4:A10"/>
    <mergeCell ref="B34:G34"/>
    <mergeCell ref="B41:G41"/>
    <mergeCell ref="A44:A46"/>
    <mergeCell ref="E12:G12"/>
    <mergeCell ref="E13:G13"/>
    <mergeCell ref="E14:G14"/>
    <mergeCell ref="A18:A27"/>
    <mergeCell ref="C10:E10"/>
    <mergeCell ref="E62:E63"/>
    <mergeCell ref="C62:D63"/>
    <mergeCell ref="F62:G63"/>
    <mergeCell ref="A62:B63"/>
    <mergeCell ref="B2:F2"/>
    <mergeCell ref="A55:A60"/>
    <mergeCell ref="B56:G56"/>
    <mergeCell ref="C55:G55"/>
    <mergeCell ref="B49:G49"/>
    <mergeCell ref="C48:G48"/>
    <mergeCell ref="C46:G46"/>
    <mergeCell ref="C45:G45"/>
    <mergeCell ref="C44:G44"/>
    <mergeCell ref="C18:G18"/>
    <mergeCell ref="A29:A42"/>
    <mergeCell ref="B29:G29"/>
  </mergeCells>
  <dataValidations count="1">
    <dataValidation allowBlank="1" showInputMessage="1" showErrorMessage="1" sqref="B4 G5 D4:F4" xr:uid="{253B406A-F4DD-4247-ABE2-33EF33F56BDE}"/>
  </dataValidations>
  <printOptions horizontalCentered="1"/>
  <pageMargins left="0.25" right="0.25" top="0.75" bottom="0.75" header="0.3" footer="0.3"/>
  <pageSetup scale="61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A8FD7B84-6479-4882-9620-C12D90CC4D6C}">
          <x14:formula1>
            <xm:f>Liste!$A$2:$A$4</xm:f>
          </x14:formula1>
          <xm:sqref>G4</xm:sqref>
        </x14:dataValidation>
        <x14:dataValidation type="list" allowBlank="1" showInputMessage="1" showErrorMessage="1" xr:uid="{6E08A842-CF45-4C3B-A4FF-26017B216BFC}">
          <x14:formula1>
            <xm:f>Liste!$B$2:$B$21</xm:f>
          </x14:formula1>
          <xm:sqref>E5</xm:sqref>
        </x14:dataValidation>
        <x14:dataValidation type="list" allowBlank="1" showInputMessage="1" showErrorMessage="1" xr:uid="{735CC5C9-6D4D-4E0E-AA81-8824B8880AE5}">
          <x14:formula1>
            <xm:f>Liste!$C$2:$C$3</xm:f>
          </x14:formula1>
          <xm:sqref>C55 E20 C45 C31:C33 E31:E33 G30 E35 E40 G37:G39 G6:G10</xm:sqref>
        </x14:dataValidation>
        <x14:dataValidation type="list" allowBlank="1" showInputMessage="1" showErrorMessage="1" xr:uid="{6FD4C6EE-574E-4E46-AEC2-EA7BDB3E7042}">
          <x14:formula1>
            <xm:f>Liste!$F$2:$F$6</xm:f>
          </x14:formula1>
          <xm:sqref>B20:B21</xm:sqref>
        </x14:dataValidation>
        <x14:dataValidation type="list" allowBlank="1" showInputMessage="1" showErrorMessage="1" xr:uid="{0D720F28-80A9-46E1-A0C1-35491E698B08}">
          <x14:formula1>
            <xm:f>Liste!$O$2:$O$9</xm:f>
          </x14:formula1>
          <xm:sqref>E37</xm:sqref>
        </x14:dataValidation>
        <x14:dataValidation type="list" allowBlank="1" showInputMessage="1" showErrorMessage="1" xr:uid="{6C5DD360-DEC6-4F76-9483-31A2F886DEBB}">
          <x14:formula1>
            <xm:f>Liste!$C$2:$C$5</xm:f>
          </x14:formula1>
          <xm:sqref>E14:G14 C42 E42</xm:sqref>
        </x14:dataValidation>
        <x14:dataValidation type="list" allowBlank="1" showInputMessage="1" showErrorMessage="1" xr:uid="{41692FD2-0C02-40F8-AB66-7BE9A0ED0463}">
          <x14:formula1>
            <xm:f>Liste!$N$2:$N$14</xm:f>
          </x14:formula1>
          <xm:sqref>E15:G15</xm:sqref>
        </x14:dataValidation>
        <x14:dataValidation type="list" allowBlank="1" showInputMessage="1" showErrorMessage="1" xr:uid="{D41E45B2-9C2D-4582-9CCC-2C2AEA01B765}">
          <x14:formula1>
            <xm:f>Liste!$E$2:$E$6</xm:f>
          </x14:formula1>
          <xm:sqref>E16:G16</xm:sqref>
        </x14:dataValidation>
        <x14:dataValidation type="list" allowBlank="1" showInputMessage="1" showErrorMessage="1" xr:uid="{7ABFAE1C-E209-467B-A56D-D52A6F8494CC}">
          <x14:formula1>
            <xm:f>Liste!$H$2:$H$7</xm:f>
          </x14:formula1>
          <xm:sqref>C48:G48</xm:sqref>
        </x14:dataValidation>
        <x14:dataValidation type="list" allowBlank="1" showInputMessage="1" showErrorMessage="1" xr:uid="{1BFB192D-3C2F-4CA9-9236-B3CE1EF140C2}">
          <x14:formula1>
            <xm:f>Liste!$K$2:$K$12</xm:f>
          </x14:formula1>
          <xm:sqref>G20:G23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09DA-DC8D-451C-BC3C-7EA5294A117A}">
  <sheetPr>
    <tabColor theme="4"/>
  </sheetPr>
  <dimension ref="B6:S7"/>
  <sheetViews>
    <sheetView workbookViewId="0">
      <selection activeCell="E8" sqref="E8"/>
    </sheetView>
  </sheetViews>
  <sheetFormatPr baseColWidth="10" defaultColWidth="11.42578125" defaultRowHeight="15" x14ac:dyDescent="0.25"/>
  <cols>
    <col min="2" max="2" width="19.28515625" customWidth="1"/>
    <col min="3" max="3" width="19" customWidth="1"/>
    <col min="4" max="4" width="11.85546875" customWidth="1"/>
    <col min="5" max="5" width="18.28515625" customWidth="1"/>
    <col min="6" max="6" width="29.140625" customWidth="1"/>
    <col min="7" max="7" width="19.85546875" customWidth="1"/>
    <col min="8" max="8" width="24.28515625" customWidth="1"/>
    <col min="9" max="9" width="35.7109375" customWidth="1"/>
    <col min="10" max="10" width="26.140625" customWidth="1"/>
    <col min="11" max="11" width="28.5703125" customWidth="1"/>
    <col min="12" max="12" width="30.42578125" customWidth="1"/>
    <col min="13" max="13" width="31.85546875" customWidth="1"/>
    <col min="14" max="20" width="12.85546875" customWidth="1"/>
  </cols>
  <sheetData>
    <row r="6" spans="2:19" x14ac:dyDescent="0.25">
      <c r="B6" t="s">
        <v>136</v>
      </c>
      <c r="C6" t="s">
        <v>137</v>
      </c>
      <c r="D6" t="s">
        <v>138</v>
      </c>
      <c r="E6" t="s">
        <v>139</v>
      </c>
      <c r="F6" t="s">
        <v>140</v>
      </c>
      <c r="G6" t="s">
        <v>141</v>
      </c>
      <c r="H6" t="s">
        <v>142</v>
      </c>
      <c r="I6" t="s">
        <v>143</v>
      </c>
      <c r="J6" t="s">
        <v>144</v>
      </c>
      <c r="K6" t="s">
        <v>145</v>
      </c>
      <c r="L6" t="s">
        <v>146</v>
      </c>
      <c r="M6" t="s">
        <v>147</v>
      </c>
      <c r="N6" t="s">
        <v>148</v>
      </c>
      <c r="O6" t="s">
        <v>149</v>
      </c>
      <c r="P6" t="s">
        <v>150</v>
      </c>
      <c r="Q6" t="s">
        <v>151</v>
      </c>
      <c r="R6" t="s">
        <v>152</v>
      </c>
      <c r="S6" t="s">
        <v>153</v>
      </c>
    </row>
    <row r="7" spans="2:19" x14ac:dyDescent="0.25">
      <c r="E7" t="s">
        <v>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59E7-4FB8-4941-8642-F8E43E390491}">
  <dimension ref="A1:V13"/>
  <sheetViews>
    <sheetView workbookViewId="0">
      <selection sqref="A1:V1"/>
    </sheetView>
  </sheetViews>
  <sheetFormatPr baseColWidth="10" defaultColWidth="9.140625" defaultRowHeight="15" x14ac:dyDescent="0.25"/>
  <cols>
    <col min="1" max="1" width="22" bestFit="1" customWidth="1"/>
    <col min="3" max="5" width="12" bestFit="1" customWidth="1"/>
  </cols>
  <sheetData>
    <row r="1" spans="1:22" x14ac:dyDescent="0.25">
      <c r="A1" t="s">
        <v>155</v>
      </c>
      <c r="B1" t="s">
        <v>156</v>
      </c>
      <c r="C1" t="s">
        <v>157</v>
      </c>
      <c r="D1" t="s">
        <v>11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</row>
    <row r="2" spans="1:22" x14ac:dyDescent="0.25">
      <c r="A2" t="s">
        <v>15</v>
      </c>
      <c r="B2">
        <v>15</v>
      </c>
      <c r="C2">
        <v>20</v>
      </c>
      <c r="D2">
        <v>20</v>
      </c>
      <c r="E2">
        <v>15</v>
      </c>
      <c r="F2">
        <v>15</v>
      </c>
      <c r="G2">
        <v>15</v>
      </c>
      <c r="H2">
        <v>20</v>
      </c>
      <c r="I2">
        <v>12</v>
      </c>
      <c r="J2">
        <v>15</v>
      </c>
      <c r="K2">
        <v>15</v>
      </c>
      <c r="L2">
        <v>20</v>
      </c>
      <c r="M2">
        <v>15</v>
      </c>
      <c r="N2">
        <v>9.5</v>
      </c>
      <c r="O2">
        <v>15</v>
      </c>
      <c r="P2">
        <v>0</v>
      </c>
      <c r="Q2">
        <v>15</v>
      </c>
      <c r="R2">
        <v>15</v>
      </c>
      <c r="S2">
        <v>25</v>
      </c>
      <c r="T2">
        <v>15</v>
      </c>
      <c r="U2">
        <v>15</v>
      </c>
      <c r="V2">
        <v>15</v>
      </c>
    </row>
    <row r="3" spans="1:22" x14ac:dyDescent="0.25">
      <c r="A3" t="s">
        <v>20</v>
      </c>
      <c r="B3">
        <v>7.5</v>
      </c>
      <c r="C3">
        <v>15</v>
      </c>
      <c r="D3">
        <v>15</v>
      </c>
      <c r="E3">
        <v>7.5</v>
      </c>
      <c r="F3">
        <v>7.5</v>
      </c>
      <c r="G3">
        <v>7.5</v>
      </c>
      <c r="H3">
        <v>7.5</v>
      </c>
      <c r="I3">
        <v>7.5</v>
      </c>
      <c r="J3">
        <v>7.5</v>
      </c>
      <c r="K3">
        <v>7.5</v>
      </c>
      <c r="L3">
        <v>7.5</v>
      </c>
      <c r="M3">
        <v>6</v>
      </c>
      <c r="N3">
        <v>5</v>
      </c>
      <c r="O3">
        <v>7.5</v>
      </c>
      <c r="P3">
        <v>0</v>
      </c>
      <c r="Q3">
        <v>7.5</v>
      </c>
      <c r="R3">
        <v>7.5</v>
      </c>
      <c r="S3">
        <v>10</v>
      </c>
      <c r="T3">
        <v>7.5</v>
      </c>
      <c r="U3">
        <v>7.5</v>
      </c>
      <c r="V3">
        <v>7.5</v>
      </c>
    </row>
    <row r="4" spans="1:22" x14ac:dyDescent="0.25">
      <c r="A4" t="s">
        <v>24</v>
      </c>
      <c r="B4">
        <v>6</v>
      </c>
      <c r="C4">
        <v>15</v>
      </c>
      <c r="D4">
        <v>15</v>
      </c>
      <c r="E4">
        <v>4</v>
      </c>
      <c r="F4">
        <v>4</v>
      </c>
      <c r="G4">
        <v>6</v>
      </c>
      <c r="H4">
        <v>6</v>
      </c>
      <c r="I4">
        <v>4</v>
      </c>
      <c r="J4">
        <v>6</v>
      </c>
      <c r="K4">
        <v>6</v>
      </c>
      <c r="L4">
        <v>6</v>
      </c>
      <c r="M4">
        <v>12</v>
      </c>
      <c r="N4">
        <v>6</v>
      </c>
      <c r="O4">
        <v>6</v>
      </c>
      <c r="P4">
        <v>0</v>
      </c>
      <c r="Q4">
        <v>6</v>
      </c>
      <c r="R4">
        <v>8</v>
      </c>
      <c r="S4">
        <v>10</v>
      </c>
      <c r="T4">
        <v>6</v>
      </c>
      <c r="U4">
        <v>6</v>
      </c>
      <c r="V4">
        <v>4</v>
      </c>
    </row>
    <row r="5" spans="1:22" x14ac:dyDescent="0.25">
      <c r="A5" t="s">
        <v>24</v>
      </c>
      <c r="B5">
        <v>12</v>
      </c>
      <c r="C5">
        <v>30</v>
      </c>
      <c r="D5">
        <v>30</v>
      </c>
      <c r="E5">
        <v>10</v>
      </c>
      <c r="F5">
        <v>10</v>
      </c>
      <c r="G5">
        <v>12</v>
      </c>
      <c r="H5">
        <v>10</v>
      </c>
      <c r="I5">
        <v>10</v>
      </c>
      <c r="J5">
        <v>12</v>
      </c>
      <c r="K5">
        <v>12</v>
      </c>
      <c r="L5">
        <v>10</v>
      </c>
      <c r="M5">
        <v>24</v>
      </c>
      <c r="N5">
        <v>12</v>
      </c>
      <c r="O5">
        <v>12</v>
      </c>
      <c r="P5">
        <v>0</v>
      </c>
      <c r="Q5">
        <v>12</v>
      </c>
      <c r="R5">
        <v>12</v>
      </c>
      <c r="S5">
        <v>20</v>
      </c>
      <c r="T5">
        <v>12</v>
      </c>
      <c r="U5">
        <v>12</v>
      </c>
      <c r="V5">
        <v>10</v>
      </c>
    </row>
    <row r="6" spans="1:22" x14ac:dyDescent="0.25">
      <c r="A6" t="s">
        <v>145</v>
      </c>
      <c r="B6" t="s">
        <v>176</v>
      </c>
      <c r="C6" t="s">
        <v>177</v>
      </c>
      <c r="D6" t="s">
        <v>176</v>
      </c>
      <c r="E6" t="s">
        <v>176</v>
      </c>
      <c r="F6" t="s">
        <v>176</v>
      </c>
      <c r="G6" t="s">
        <v>177</v>
      </c>
      <c r="H6" t="s">
        <v>178</v>
      </c>
      <c r="I6" t="s">
        <v>179</v>
      </c>
      <c r="J6" t="s">
        <v>179</v>
      </c>
      <c r="K6" t="s">
        <v>176</v>
      </c>
      <c r="L6" t="s">
        <v>180</v>
      </c>
      <c r="M6" t="s">
        <v>181</v>
      </c>
      <c r="N6" t="s">
        <v>182</v>
      </c>
      <c r="O6" t="s">
        <v>182</v>
      </c>
      <c r="P6" t="s">
        <v>183</v>
      </c>
      <c r="Q6" t="s">
        <v>184</v>
      </c>
      <c r="R6" t="s">
        <v>185</v>
      </c>
      <c r="S6" t="s">
        <v>178</v>
      </c>
      <c r="T6" t="s">
        <v>182</v>
      </c>
      <c r="U6" t="s">
        <v>183</v>
      </c>
      <c r="V6" t="s">
        <v>177</v>
      </c>
    </row>
    <row r="10" spans="1:22" x14ac:dyDescent="0.25">
      <c r="B10" t="s">
        <v>138</v>
      </c>
    </row>
    <row r="11" spans="1:22" x14ac:dyDescent="0.25">
      <c r="B11" t="s">
        <v>186</v>
      </c>
    </row>
    <row r="12" spans="1:22" x14ac:dyDescent="0.25">
      <c r="B12" t="s">
        <v>187</v>
      </c>
    </row>
    <row r="13" spans="1:22" x14ac:dyDescent="0.25">
      <c r="B13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EE5E-A49F-4D25-BBF7-2B5F968EA69E}">
  <dimension ref="A1:O35"/>
  <sheetViews>
    <sheetView topLeftCell="D1" workbookViewId="0">
      <selection activeCell="K13" sqref="K13"/>
    </sheetView>
  </sheetViews>
  <sheetFormatPr baseColWidth="10" defaultColWidth="9.140625" defaultRowHeight="15" x14ac:dyDescent="0.25"/>
  <cols>
    <col min="1" max="1" width="13.85546875" bestFit="1" customWidth="1"/>
    <col min="3" max="3" width="14" bestFit="1" customWidth="1"/>
    <col min="5" max="5" width="13.42578125" customWidth="1"/>
    <col min="6" max="6" width="20.140625" customWidth="1"/>
    <col min="7" max="7" width="13.42578125" customWidth="1"/>
    <col min="8" max="8" width="12.7109375" customWidth="1"/>
    <col min="9" max="9" width="70.28515625" customWidth="1"/>
    <col min="10" max="10" width="38.7109375" customWidth="1"/>
    <col min="11" max="11" width="38.85546875" customWidth="1"/>
    <col min="12" max="12" width="33.5703125" customWidth="1"/>
    <col min="13" max="13" width="34" customWidth="1"/>
    <col min="14" max="14" width="41.42578125" customWidth="1"/>
    <col min="15" max="15" width="30.85546875" customWidth="1"/>
  </cols>
  <sheetData>
    <row r="1" spans="1:15" s="1" customFormat="1" x14ac:dyDescent="0.25">
      <c r="A1" s="1" t="s">
        <v>188</v>
      </c>
      <c r="B1" s="1" t="s">
        <v>155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123</v>
      </c>
      <c r="I1" s="1" t="s">
        <v>124</v>
      </c>
      <c r="J1" s="1" t="s">
        <v>194</v>
      </c>
      <c r="K1" s="1" t="s">
        <v>46</v>
      </c>
      <c r="M1" s="1" t="s">
        <v>195</v>
      </c>
      <c r="N1" s="1" t="s">
        <v>196</v>
      </c>
      <c r="O1" s="1" t="s">
        <v>197</v>
      </c>
    </row>
    <row r="2" spans="1:15" x14ac:dyDescent="0.25">
      <c r="A2" t="s">
        <v>198</v>
      </c>
      <c r="B2" t="s">
        <v>156</v>
      </c>
      <c r="C2" t="s">
        <v>47</v>
      </c>
      <c r="D2" t="s">
        <v>199</v>
      </c>
      <c r="E2" t="s">
        <v>200</v>
      </c>
      <c r="F2" t="s">
        <v>123</v>
      </c>
      <c r="G2" t="s">
        <v>201</v>
      </c>
      <c r="H2" t="s">
        <v>202</v>
      </c>
      <c r="I2" t="s">
        <v>129</v>
      </c>
      <c r="J2" t="s">
        <v>203</v>
      </c>
      <c r="K2" t="s">
        <v>204</v>
      </c>
      <c r="M2" t="s">
        <v>205</v>
      </c>
      <c r="N2" t="s">
        <v>206</v>
      </c>
      <c r="O2" t="s">
        <v>207</v>
      </c>
    </row>
    <row r="3" spans="1:15" ht="43.5" x14ac:dyDescent="0.25">
      <c r="A3" t="s">
        <v>7</v>
      </c>
      <c r="B3" t="s">
        <v>157</v>
      </c>
      <c r="C3" t="s">
        <v>17</v>
      </c>
      <c r="D3" t="s">
        <v>208</v>
      </c>
      <c r="E3" t="s">
        <v>209</v>
      </c>
      <c r="F3" t="s">
        <v>210</v>
      </c>
      <c r="G3" t="s">
        <v>211</v>
      </c>
      <c r="H3" t="s">
        <v>183</v>
      </c>
      <c r="I3" s="15" t="s">
        <v>131</v>
      </c>
      <c r="J3" t="s">
        <v>212</v>
      </c>
      <c r="K3" t="s">
        <v>213</v>
      </c>
      <c r="M3" t="s">
        <v>214</v>
      </c>
      <c r="N3" t="s">
        <v>215</v>
      </c>
      <c r="O3" t="s">
        <v>216</v>
      </c>
    </row>
    <row r="4" spans="1:15" ht="43.5" x14ac:dyDescent="0.25">
      <c r="A4" t="s">
        <v>217</v>
      </c>
      <c r="B4" t="s">
        <v>11</v>
      </c>
      <c r="C4" t="s">
        <v>74</v>
      </c>
      <c r="E4" t="s">
        <v>218</v>
      </c>
      <c r="F4" t="s">
        <v>219</v>
      </c>
      <c r="G4" t="s">
        <v>220</v>
      </c>
      <c r="H4" t="s">
        <v>221</v>
      </c>
      <c r="I4" s="15" t="s">
        <v>133</v>
      </c>
      <c r="J4" t="s">
        <v>222</v>
      </c>
      <c r="K4" t="s">
        <v>223</v>
      </c>
      <c r="M4" t="s">
        <v>224</v>
      </c>
      <c r="N4" t="s">
        <v>225</v>
      </c>
      <c r="O4" t="s">
        <v>226</v>
      </c>
    </row>
    <row r="5" spans="1:15" ht="29.25" x14ac:dyDescent="0.25">
      <c r="B5" t="s">
        <v>158</v>
      </c>
      <c r="C5" t="s">
        <v>227</v>
      </c>
      <c r="E5" t="s">
        <v>228</v>
      </c>
      <c r="F5" t="s">
        <v>229</v>
      </c>
      <c r="G5" t="s">
        <v>230</v>
      </c>
      <c r="H5" t="s">
        <v>180</v>
      </c>
      <c r="I5" s="15" t="s">
        <v>135</v>
      </c>
      <c r="J5" t="s">
        <v>231</v>
      </c>
      <c r="K5" t="s">
        <v>232</v>
      </c>
      <c r="M5" t="s">
        <v>233</v>
      </c>
      <c r="N5" t="s">
        <v>234</v>
      </c>
      <c r="O5" t="s">
        <v>235</v>
      </c>
    </row>
    <row r="6" spans="1:15" x14ac:dyDescent="0.25">
      <c r="B6" t="s">
        <v>159</v>
      </c>
      <c r="E6" t="s">
        <v>37</v>
      </c>
      <c r="F6" t="s">
        <v>236</v>
      </c>
      <c r="H6" t="s">
        <v>82</v>
      </c>
      <c r="K6" t="s">
        <v>237</v>
      </c>
      <c r="M6" t="s">
        <v>238</v>
      </c>
      <c r="N6" t="s">
        <v>239</v>
      </c>
      <c r="O6" t="s">
        <v>240</v>
      </c>
    </row>
    <row r="7" spans="1:15" x14ac:dyDescent="0.25">
      <c r="B7" t="s">
        <v>160</v>
      </c>
      <c r="H7" t="s">
        <v>241</v>
      </c>
      <c r="K7" t="s">
        <v>242</v>
      </c>
      <c r="M7" t="s">
        <v>243</v>
      </c>
      <c r="N7" t="s">
        <v>244</v>
      </c>
      <c r="O7" t="s">
        <v>228</v>
      </c>
    </row>
    <row r="8" spans="1:15" x14ac:dyDescent="0.25">
      <c r="B8" t="s">
        <v>161</v>
      </c>
      <c r="K8" t="s">
        <v>245</v>
      </c>
      <c r="M8" t="s">
        <v>246</v>
      </c>
      <c r="N8" t="s">
        <v>247</v>
      </c>
      <c r="O8" t="s">
        <v>227</v>
      </c>
    </row>
    <row r="9" spans="1:15" x14ac:dyDescent="0.25">
      <c r="B9" t="s">
        <v>162</v>
      </c>
      <c r="K9" t="s">
        <v>284</v>
      </c>
      <c r="M9" t="s">
        <v>248</v>
      </c>
      <c r="N9" t="s">
        <v>249</v>
      </c>
      <c r="O9" t="s">
        <v>37</v>
      </c>
    </row>
    <row r="10" spans="1:15" x14ac:dyDescent="0.25">
      <c r="B10" t="s">
        <v>163</v>
      </c>
      <c r="K10" t="s">
        <v>285</v>
      </c>
      <c r="M10" t="s">
        <v>250</v>
      </c>
      <c r="N10" t="s">
        <v>251</v>
      </c>
    </row>
    <row r="11" spans="1:15" x14ac:dyDescent="0.25">
      <c r="B11" t="s">
        <v>164</v>
      </c>
      <c r="K11" t="s">
        <v>286</v>
      </c>
      <c r="M11" t="s">
        <v>252</v>
      </c>
      <c r="N11" t="s">
        <v>253</v>
      </c>
    </row>
    <row r="12" spans="1:15" x14ac:dyDescent="0.25">
      <c r="B12" t="s">
        <v>165</v>
      </c>
      <c r="K12" t="s">
        <v>287</v>
      </c>
      <c r="M12" t="s">
        <v>254</v>
      </c>
      <c r="N12" t="s">
        <v>255</v>
      </c>
    </row>
    <row r="13" spans="1:15" x14ac:dyDescent="0.25">
      <c r="B13" t="s">
        <v>166</v>
      </c>
      <c r="M13" t="s">
        <v>256</v>
      </c>
      <c r="N13" t="s">
        <v>228</v>
      </c>
    </row>
    <row r="14" spans="1:15" x14ac:dyDescent="0.25">
      <c r="B14" t="s">
        <v>167</v>
      </c>
      <c r="M14" t="s">
        <v>257</v>
      </c>
      <c r="N14" t="s">
        <v>37</v>
      </c>
    </row>
    <row r="15" spans="1:15" x14ac:dyDescent="0.25">
      <c r="B15" t="s">
        <v>168</v>
      </c>
      <c r="M15" t="s">
        <v>258</v>
      </c>
    </row>
    <row r="16" spans="1:15" x14ac:dyDescent="0.25">
      <c r="B16" t="s">
        <v>169</v>
      </c>
      <c r="M16" t="s">
        <v>259</v>
      </c>
    </row>
    <row r="17" spans="2:13" x14ac:dyDescent="0.25">
      <c r="B17" t="s">
        <v>170</v>
      </c>
      <c r="M17" t="s">
        <v>260</v>
      </c>
    </row>
    <row r="18" spans="2:13" x14ac:dyDescent="0.25">
      <c r="B18" t="s">
        <v>171</v>
      </c>
      <c r="M18" t="s">
        <v>261</v>
      </c>
    </row>
    <row r="19" spans="2:13" x14ac:dyDescent="0.25">
      <c r="B19" t="s">
        <v>172</v>
      </c>
      <c r="M19" t="s">
        <v>262</v>
      </c>
    </row>
    <row r="20" spans="2:13" x14ac:dyDescent="0.25">
      <c r="B20" t="s">
        <v>173</v>
      </c>
      <c r="M20" t="s">
        <v>263</v>
      </c>
    </row>
    <row r="21" spans="2:13" x14ac:dyDescent="0.25">
      <c r="B21" t="s">
        <v>174</v>
      </c>
      <c r="M21" t="s">
        <v>264</v>
      </c>
    </row>
    <row r="22" spans="2:13" x14ac:dyDescent="0.25">
      <c r="B22" t="s">
        <v>175</v>
      </c>
      <c r="M22" t="s">
        <v>265</v>
      </c>
    </row>
    <row r="23" spans="2:13" x14ac:dyDescent="0.25">
      <c r="M23" t="s">
        <v>266</v>
      </c>
    </row>
    <row r="24" spans="2:13" x14ac:dyDescent="0.25">
      <c r="M24" t="s">
        <v>267</v>
      </c>
    </row>
    <row r="25" spans="2:13" x14ac:dyDescent="0.25">
      <c r="M25" t="s">
        <v>268</v>
      </c>
    </row>
    <row r="26" spans="2:13" x14ac:dyDescent="0.25">
      <c r="M26" t="s">
        <v>269</v>
      </c>
    </row>
    <row r="27" spans="2:13" x14ac:dyDescent="0.25">
      <c r="M27" t="s">
        <v>270</v>
      </c>
    </row>
    <row r="28" spans="2:13" x14ac:dyDescent="0.25">
      <c r="M28" t="s">
        <v>206</v>
      </c>
    </row>
    <row r="29" spans="2:13" x14ac:dyDescent="0.25">
      <c r="M29" t="s">
        <v>271</v>
      </c>
    </row>
    <row r="30" spans="2:13" x14ac:dyDescent="0.25">
      <c r="M30" t="s">
        <v>272</v>
      </c>
    </row>
    <row r="31" spans="2:13" x14ac:dyDescent="0.25">
      <c r="M31" t="s">
        <v>273</v>
      </c>
    </row>
    <row r="32" spans="2:13" x14ac:dyDescent="0.25">
      <c r="M32" t="s">
        <v>274</v>
      </c>
    </row>
    <row r="33" spans="13:13" x14ac:dyDescent="0.25">
      <c r="M33" t="s">
        <v>275</v>
      </c>
    </row>
    <row r="34" spans="13:13" x14ac:dyDescent="0.25">
      <c r="M34" t="s">
        <v>228</v>
      </c>
    </row>
    <row r="35" spans="13:13" x14ac:dyDescent="0.25">
      <c r="M35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3E43-CE23-48BD-BDD9-605179A293CD}">
  <dimension ref="A1:V2"/>
  <sheetViews>
    <sheetView tabSelected="1" workbookViewId="0">
      <selection activeCell="A3" sqref="A3"/>
    </sheetView>
  </sheetViews>
  <sheetFormatPr baseColWidth="10" defaultRowHeight="15" x14ac:dyDescent="0.25"/>
  <sheetData>
    <row r="1" spans="1:22" x14ac:dyDescent="0.25">
      <c r="A1" s="120" t="s">
        <v>155</v>
      </c>
      <c r="B1" s="121" t="s">
        <v>156</v>
      </c>
      <c r="C1" s="121" t="s">
        <v>157</v>
      </c>
      <c r="D1" s="121" t="s">
        <v>11</v>
      </c>
      <c r="E1" s="121" t="s">
        <v>158</v>
      </c>
      <c r="F1" s="121" t="s">
        <v>159</v>
      </c>
      <c r="G1" s="121" t="s">
        <v>160</v>
      </c>
      <c r="H1" s="121" t="s">
        <v>161</v>
      </c>
      <c r="I1" s="121" t="s">
        <v>162</v>
      </c>
      <c r="J1" s="121" t="s">
        <v>163</v>
      </c>
      <c r="K1" s="121" t="s">
        <v>164</v>
      </c>
      <c r="L1" s="121" t="s">
        <v>165</v>
      </c>
      <c r="M1" s="121" t="s">
        <v>166</v>
      </c>
      <c r="N1" s="121" t="s">
        <v>167</v>
      </c>
      <c r="O1" s="121" t="s">
        <v>168</v>
      </c>
      <c r="P1" s="121" t="s">
        <v>169</v>
      </c>
      <c r="Q1" s="121" t="s">
        <v>170</v>
      </c>
      <c r="R1" s="121" t="s">
        <v>171</v>
      </c>
      <c r="S1" s="121" t="s">
        <v>172</v>
      </c>
      <c r="T1" s="121" t="s">
        <v>173</v>
      </c>
      <c r="U1" s="121" t="s">
        <v>174</v>
      </c>
      <c r="V1" s="122" t="s">
        <v>175</v>
      </c>
    </row>
    <row r="2" spans="1:22" x14ac:dyDescent="0.25">
      <c r="A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Data</vt:lpstr>
      <vt:lpstr>Feuil2</vt:lpstr>
      <vt:lpstr>marge</vt:lpstr>
      <vt:lpstr>Liste</vt:lpstr>
      <vt:lpstr>Feuil1</vt:lpstr>
      <vt:lpstr>Data!Zone_d_impression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Cuellar-Villeneuve Nicolas</dc:creator>
  <cp:keywords/>
  <dc:description/>
  <cp:lastModifiedBy>Cuellar-Villeneuve Nicolas</cp:lastModifiedBy>
  <cp:revision/>
  <dcterms:created xsi:type="dcterms:W3CDTF">2025-11-12T21:27:37Z</dcterms:created>
  <dcterms:modified xsi:type="dcterms:W3CDTF">2025-12-09T22:01:35Z</dcterms:modified>
  <cp:category/>
  <cp:contentStatus/>
</cp:coreProperties>
</file>